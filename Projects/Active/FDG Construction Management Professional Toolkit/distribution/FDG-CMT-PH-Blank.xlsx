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4954a66d9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410ee25d3ac43c7"/>
    <x:sheet xmlns:r="http://schemas.openxmlformats.org/officeDocument/2006/relationships" name="Dashboard" sheetId="2" r:id="R8d6f74b5dce24971"/>
    <x:sheet xmlns:r="http://schemas.openxmlformats.org/officeDocument/2006/relationships" name="Report" sheetId="3" r:id="R886ee19193a148f8"/>
    <x:sheet xmlns:r="http://schemas.openxmlformats.org/officeDocument/2006/relationships" name="Setup" sheetId="4" r:id="Rdb005d1418324047"/>
    <x:sheet xmlns:r="http://schemas.openxmlformats.org/officeDocument/2006/relationships" name="WBS" sheetId="5" r:id="R6fb75e2f7ac74d43"/>
    <x:sheet xmlns:r="http://schemas.openxmlformats.org/officeDocument/2006/relationships" name="Daily" sheetId="6" r:id="R9e80682cd37a4ace"/>
    <x:sheet xmlns:r="http://schemas.openxmlformats.org/officeDocument/2006/relationships" name="Kickoff" sheetId="7" r:id="R8cf421b781ef4571"/>
    <x:sheet xmlns:r="http://schemas.openxmlformats.org/officeDocument/2006/relationships" name="RFI" sheetId="8" r:id="R554084400e5d4e23"/>
    <x:sheet xmlns:r="http://schemas.openxmlformats.org/officeDocument/2006/relationships" name="Submittals" sheetId="9" r:id="R498ea19ec71049b0"/>
    <x:sheet xmlns:r="http://schemas.openxmlformats.org/officeDocument/2006/relationships" name="Issues" sheetId="10" r:id="R7d366d8418604616"/>
    <x:sheet xmlns:r="http://schemas.openxmlformats.org/officeDocument/2006/relationships" name="QAQC" sheetId="11" r:id="Rb5d02688d3364bac"/>
    <x:sheet xmlns:r="http://schemas.openxmlformats.org/officeDocument/2006/relationships" name="Changes" sheetId="12" r:id="Rd657650920634b0d"/>
    <x:sheet xmlns:r="http://schemas.openxmlformats.org/officeDocument/2006/relationships" name="Billing" sheetId="13" r:id="R2c7c07fc8aec4bfa"/>
    <x:sheet xmlns:r="http://schemas.openxmlformats.org/officeDocument/2006/relationships" name="Punch" sheetId="14" r:id="Rf742114a980b4b3b"/>
    <x:sheet xmlns:r="http://schemas.openxmlformats.org/officeDocument/2006/relationships" name="Turnover" sheetId="15" r:id="Ra09fe0f2ff564f02"/>
    <x:sheet xmlns:r="http://schemas.openxmlformats.org/officeDocument/2006/relationships" name="Evidence" sheetId="16" r:id="R17bd73bc7a064bc8"/>
    <x:sheet xmlns:r="http://schemas.openxmlformats.org/officeDocument/2006/relationships" name="History" sheetId="17" r:id="R8e374b46aa31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%"/>
    <x:numFmt numFmtId="202" formatCode="0"/>
    <x:numFmt numFmtId="203" formatCode="yyyy-mm-dd"/>
    <x:numFmt numFmtId="204" formatCode="&quot;PHP &quot;#,##0.00"/>
  </x:numFmts>
  <x:fonts count="8">
    <x:font>
      <x:sz val="11"/>
      <x:name val="Carlito"/>
    </x:font>
    <x:font>
      <x:sz val="10"/>
      <x:color rgb="FF172A2A"/>
      <x:name val="Arial"/>
    </x:font>
    <x:font>
      <x:b/>
      <x:sz val="15"/>
      <x:color rgb="FF163F35"/>
      <x:name val="Arial"/>
    </x:font>
    <x:font>
      <x:i/>
      <x:sz val="10"/>
      <x:color rgb="FF526660"/>
      <x:name val="Arial"/>
    </x:font>
    <x:font>
      <x:b/>
      <x:sz val="10"/>
      <x:color rgb="FFFFFFFF"/>
      <x:name val="Arial"/>
    </x:font>
    <x:font>
      <x:b/>
      <x:sz val="10"/>
      <x:color rgb="FF172A2A"/>
      <x:name val="Arial"/>
    </x:font>
    <x:font>
      <x:b/>
      <x:sz val="11"/>
      <x:name val="Carlito"/>
    </x:font>
    <x:font>
      <x:i/>
      <x:sz val="10"/>
      <x:color rgb="FF52666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FFBEB"/>
      </x:patternFill>
    </x:fill>
    <x:fill>
      <x:patternFill patternType="solid">
        <x:fgColor rgb="FFEAF1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7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0a44c577047ac" /><Relationship Type="http://schemas.openxmlformats.org/officeDocument/2006/relationships/theme" Target="/xl/theme/theme1.xml" Id="R6b45110813dd4936" /><Relationship Type="http://schemas.openxmlformats.org/officeDocument/2006/relationships/sharedStrings" Target="/xl/sharedStrings.xml" Id="R751cc775dcd94fbe" /><Relationship Type="http://schemas.openxmlformats.org/officeDocument/2006/relationships/worksheet" Target="/xl/worksheets/sheet1.xml" Id="R6410ee25d3ac43c7" /><Relationship Type="http://schemas.openxmlformats.org/officeDocument/2006/relationships/worksheet" Target="/xl/worksheets/sheet2.xml" Id="R8d6f74b5dce24971" /><Relationship Type="http://schemas.openxmlformats.org/officeDocument/2006/relationships/worksheet" Target="/xl/worksheets/sheet3.xml" Id="R886ee19193a148f8" /><Relationship Type="http://schemas.openxmlformats.org/officeDocument/2006/relationships/worksheet" Target="/xl/worksheets/sheet4.xml" Id="Rdb005d1418324047" /><Relationship Type="http://schemas.openxmlformats.org/officeDocument/2006/relationships/worksheet" Target="/xl/worksheets/sheet5.xml" Id="R6fb75e2f7ac74d43" /><Relationship Type="http://schemas.openxmlformats.org/officeDocument/2006/relationships/worksheet" Target="/xl/worksheets/sheet6.xml" Id="R9e80682cd37a4ace" /><Relationship Type="http://schemas.openxmlformats.org/officeDocument/2006/relationships/worksheet" Target="/xl/worksheets/sheet7.xml" Id="R8cf421b781ef4571" /><Relationship Type="http://schemas.openxmlformats.org/officeDocument/2006/relationships/worksheet" Target="/xl/worksheets/sheet8.xml" Id="R554084400e5d4e23" /><Relationship Type="http://schemas.openxmlformats.org/officeDocument/2006/relationships/worksheet" Target="/xl/worksheets/sheet9.xml" Id="R498ea19ec71049b0" /><Relationship Type="http://schemas.openxmlformats.org/officeDocument/2006/relationships/worksheet" Target="/xl/worksheets/sheet10.xml" Id="R7d366d8418604616" /><Relationship Type="http://schemas.openxmlformats.org/officeDocument/2006/relationships/worksheet" Target="/xl/worksheets/sheet11.xml" Id="Rb5d02688d3364bac" /><Relationship Type="http://schemas.openxmlformats.org/officeDocument/2006/relationships/worksheet" Target="/xl/worksheets/sheet12.xml" Id="Rd657650920634b0d" /><Relationship Type="http://schemas.openxmlformats.org/officeDocument/2006/relationships/worksheet" Target="/xl/worksheets/sheet13.xml" Id="R2c7c07fc8aec4bfa" /><Relationship Type="http://schemas.openxmlformats.org/officeDocument/2006/relationships/worksheet" Target="/xl/worksheets/sheet14.xml" Id="Rf742114a980b4b3b" /><Relationship Type="http://schemas.openxmlformats.org/officeDocument/2006/relationships/worksheet" Target="/xl/worksheets/sheet15.xml" Id="Ra09fe0f2ff564f02" /><Relationship Type="http://schemas.openxmlformats.org/officeDocument/2006/relationships/worksheet" Target="/xl/worksheets/sheet16.xml" Id="R17bd73bc7a064bc8" /><Relationship Type="http://schemas.openxmlformats.org/officeDocument/2006/relationships/worksheet" Target="/xl/worksheets/sheet17.xml" Id="R8e374b46aa314c09" /></Relationships>
</file>

<file path=xl/tables/table1.xml><?xml version="1.0" encoding="utf-8"?>
<x:table xmlns:x="http://schemas.openxmlformats.org/spreadsheetml/2006/main" id="1" name="TK_WBS" displayName="TK_WBS" ref="A6:P206" headerRowCount="1" totalsRowCount="0" totalsRowShown="0">
  <x:tableColumns count="16">
    <x:tableColumn id="1" name="WBS ID"/>
    <x:tableColumn id="2" name="Project ID"/>
    <x:tableColumn id="3" name="Activity"/>
    <x:tableColumn id="4" name="Unit"/>
    <x:tableColumn id="5" name="Baseline Quantity"/>
    <x:tableColumn id="6" name="Weight"/>
    <x:tableColumn id="7" name="Planned Fraction"/>
    <x:tableColumn id="8" name="Accepted Events"/>
    <x:tableColumn id="9" name="Accepted Quantity"/>
    <x:tableColumn id="10" name="Accepted Fraction"/>
    <x:tableColumn id="11" name="Weighted Actual"/>
    <x:tableColumn id="12" name="Weighted Plan"/>
    <x:tableColumn id="13" name="Owner"/>
    <x:tableColumn id="14" name="Revision"/>
    <x:tableColumn id="15" name="Source Reference"/>
    <x:tableColumn id="16" name="Basis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K_Daily" displayName="TK_Daily" ref="A6:R206" headerRowCount="1" totalsRowCount="0" totalsRowShown="0">
  <x:tableColumns count="18">
    <x:tableColumn id="1" name="Event ID"/>
    <x:tableColumn id="2" name="Project ID"/>
    <x:tableColumn id="3" name="WBS ID"/>
    <x:tableColumn id="4" name="Event Date"/>
    <x:tableColumn id="5" name="Description"/>
    <x:tableColumn id="6" name="Unit"/>
    <x:tableColumn id="7" name="Reported Quantity"/>
    <x:tableColumn id="8" name="Accepted Quantity"/>
    <x:tableColumn id="9" name="Review State"/>
    <x:tableColumn id="10" name="Evidence Reference"/>
    <x:tableColumn id="11" name="Prepared By"/>
    <x:tableColumn id="12" name="Reviewer"/>
    <x:tableColumn id="13" name="Review Date"/>
    <x:tableColumn id="14" name="Revision"/>
    <x:tableColumn id="15" name="Source Reference"/>
    <x:tableColumn id="16" name="Evidence Check"/>
    <x:tableColumn id="17" name="Unit Check"/>
    <x:tableColumn id="18" name="Quantity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K_Kickoff" displayName="TK_Kickoff" ref="A6:K206" headerRowCount="1" totalsRowCount="0" totalsRowShown="0">
  <x:tableColumns count="11">
    <x:tableColumn id="1" name="Item ID"/>
    <x:tableColumn id="2" name="Project ID"/>
    <x:tableColumn id="3" name="Item"/>
    <x:tableColumn id="4" name="Owner"/>
    <x:tableColumn id="5" name="Due Date"/>
    <x:tableColumn id="6" name="Status"/>
    <x:tableColumn id="7" name="Evidence Reference"/>
    <x:tableColumn id="8" name="Reviewer"/>
    <x:tableColumn id="9" name="Review Date"/>
    <x:tableColumn id="10" name="Revision"/>
    <x:tableColumn id="11" name="Source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K_RFI" displayName="TK_RFI" ref="A6:O206" headerRowCount="1" totalsRowCount="0" totalsRowShown="0">
  <x:tableColumns count="15">
    <x:tableColumn id="1" name="RFI ID"/>
    <x:tableColumn id="2" name="Project ID"/>
    <x:tableColumn id="3" name="WBS ID"/>
    <x:tableColumn id="4" name="Subject"/>
    <x:tableColumn id="5" name="Raised Date"/>
    <x:tableColumn id="6" name="Due Date"/>
    <x:tableColumn id="7" name="Owner"/>
    <x:tableColumn id="8" name="Status"/>
    <x:tableColumn id="9" name="Response Reference"/>
    <x:tableColumn id="10" name="Evidence Reference"/>
    <x:tableColumn id="11" name="Reviewer"/>
    <x:tableColumn id="12" name="Review Date"/>
    <x:tableColumn id="13" name="Revision"/>
    <x:tableColumn id="14" name="Source Reference"/>
    <x:tableColumn id="15" name="Next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K_Submittals" displayName="TK_Submittals" ref="A6:O206" headerRowCount="1" totalsRowCount="0" totalsRowShown="0">
  <x:tableColumns count="15">
    <x:tableColumn id="1" name="Submittal ID"/>
    <x:tableColumn id="2" name="Project ID"/>
    <x:tableColumn id="3" name="WBS ID"/>
    <x:tableColumn id="4" name="Document Title"/>
    <x:tableColumn id="5" name="Document Revision"/>
    <x:tableColumn id="6" name="Submitted Date"/>
    <x:tableColumn id="7" name="Due Date"/>
    <x:tableColumn id="8" name="Owner"/>
    <x:tableColumn id="9" name="Status"/>
    <x:tableColumn id="10" name="Response Reference"/>
    <x:tableColumn id="11" name="Evidence Reference"/>
    <x:tableColumn id="12" name="Reviewer"/>
    <x:tableColumn id="13" name="Review Date"/>
    <x:tableColumn id="14" name="Revision"/>
    <x:tableColumn id="15" name="Source Re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K_Issues" displayName="TK_Issues" ref="A6:P206" headerRowCount="1" totalsRowCount="0" totalsRowShown="0">
  <x:tableColumns count="16">
    <x:tableColumn id="1" name="Issue ID"/>
    <x:tableColumn id="2" name="Project ID"/>
    <x:tableColumn id="3" name="WBS ID"/>
    <x:tableColumn id="4" name="Category"/>
    <x:tableColumn id="5" name="Description"/>
    <x:tableColumn id="6" name="Observed Date"/>
    <x:tableColumn id="7" name="Impact Basis"/>
    <x:tableColumn id="8" name="Owner"/>
    <x:tableColumn id="9" name="Due Date"/>
    <x:tableColumn id="10" name="Status"/>
    <x:tableColumn id="11" name="Next Action"/>
    <x:tableColumn id="12" name="Evidence Reference"/>
    <x:tableColumn id="13" name="Reviewer"/>
    <x:tableColumn id="14" name="Review Date"/>
    <x:tableColumn id="15" name="Revision"/>
    <x:tableColumn id="16" name="Source Refer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K_QAQC" displayName="TK_QAQC" ref="A6:P206" headerRowCount="1" totalsRowCount="0" totalsRowShown="0">
  <x:tableColumns count="16">
    <x:tableColumn id="1" name="Inspection ID"/>
    <x:tableColumn id="2" name="Project ID"/>
    <x:tableColumn id="3" name="WBS ID"/>
    <x:tableColumn id="4" name="Record Type"/>
    <x:tableColumn id="5" name="Description"/>
    <x:tableColumn id="6" name="Method Standard Reference"/>
    <x:tableColumn id="7" name="Acceptance Criterion"/>
    <x:tableColumn id="8" name="Observed Result"/>
    <x:tableColumn id="9" name="Inspection Date"/>
    <x:tableColumn id="10" name="Owner"/>
    <x:tableColumn id="11" name="Status"/>
    <x:tableColumn id="12" name="Evidence Reference"/>
    <x:tableColumn id="13" name="Reviewer"/>
    <x:tableColumn id="14" name="Review Date"/>
    <x:tableColumn id="15" name="Revision"/>
    <x:tableColumn id="16" name="Source Refer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K_Changes" displayName="TK_Changes" ref="A6:P206" headerRowCount="1" totalsRowCount="0" totalsRowShown="0">
  <x:tableColumns count="16">
    <x:tableColumn id="1" name="Change ID"/>
    <x:tableColumn id="2" name="Project ID"/>
    <x:tableColumn id="3" name="WBS ID"/>
    <x:tableColumn id="4" name="Description"/>
    <x:tableColumn id="5" name="Cause"/>
    <x:tableColumn id="6" name="Notice Date"/>
    <x:tableColumn id="7" name="Cost Impact PHP"/>
    <x:tableColumn id="8" name="Time Impact Days"/>
    <x:tableColumn id="9" name="Owner"/>
    <x:tableColumn id="10" name="Status"/>
    <x:tableColumn id="11" name="Authorization Reference"/>
    <x:tableColumn id="12" name="Evidence Reference"/>
    <x:tableColumn id="13" name="Reviewer"/>
    <x:tableColumn id="14" name="Review Date"/>
    <x:tableColumn id="15" name="Revision"/>
    <x:tableColumn id="16" name="Source Re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K_Billing" displayName="TK_Billing" ref="A6:R206" headerRowCount="1" totalsRowCount="0" totalsRowShown="0">
  <x:tableColumns count="18">
    <x:tableColumn id="1" name="Billing ID"/>
    <x:tableColumn id="2" name="Project ID"/>
    <x:tableColumn id="3" name="WBS ID"/>
    <x:tableColumn id="4" name="Description"/>
    <x:tableColumn id="5" name="Unit"/>
    <x:tableColumn id="6" name="Reported Quantity"/>
    <x:tableColumn id="7" name="Accepted Quantity"/>
    <x:tableColumn id="8" name="Billable Quantity"/>
    <x:tableColumn id="9" name="Billed Quantity"/>
    <x:tableColumn id="10" name="Paid Quantity"/>
    <x:tableColumn id="11" name="Unit Rate PHP"/>
    <x:tableColumn id="12" name="Billable Authority Reference"/>
    <x:tableColumn id="13" name="Billing Reference"/>
    <x:tableColumn id="14" name="Payment Reference"/>
    <x:tableColumn id="15" name="Evidence Reference"/>
    <x:tableColumn id="16" name="Owner"/>
    <x:tableColumn id="17" name="Revision"/>
    <x:tableColumn id="18" name="Source Refer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K_Punch" displayName="TK_Punch" ref="A6:N206" headerRowCount="1" totalsRowCount="0" totalsRowShown="0">
  <x:tableColumns count="14">
    <x:tableColumn id="1" name="Punch ID"/>
    <x:tableColumn id="2" name="Project ID"/>
    <x:tableColumn id="3" name="WBS ID"/>
    <x:tableColumn id="4" name="Location"/>
    <x:tableColumn id="5" name="Description"/>
    <x:tableColumn id="6" name="Responsible Trade"/>
    <x:tableColumn id="7" name="Owner"/>
    <x:tableColumn id="8" name="Due Date"/>
    <x:tableColumn id="9" name="Status"/>
    <x:tableColumn id="10" name="Closure Evidence Reference"/>
    <x:tableColumn id="11" name="Verified By"/>
    <x:tableColumn id="12" name="Verification Date"/>
    <x:tableColumn id="13" name="Revision"/>
    <x:tableColumn id="14" name="Source Refer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K_Turnover" displayName="TK_Turnover" ref="A6:O206" headerRowCount="1" totalsRowCount="0" totalsRowShown="0">
  <x:tableColumns count="15">
    <x:tableColumn id="1" name="Turnover ID"/>
    <x:tableColumn id="2" name="Project ID"/>
    <x:tableColumn id="3" name="WBS ID"/>
    <x:tableColumn id="4" name="Deliverable Type"/>
    <x:tableColumn id="5" name="Description"/>
    <x:tableColumn id="6" name="Responsibility Receiver"/>
    <x:tableColumn id="7" name="Owner"/>
    <x:tableColumn id="8" name="Due Date"/>
    <x:tableColumn id="9" name="Status"/>
    <x:tableColumn id="10" name="Blocking Issue Reference"/>
    <x:tableColumn id="11" name="Evidence Reference"/>
    <x:tableColumn id="12" name="Reviewer"/>
    <x:tableColumn id="13" name="Review Date"/>
    <x:tableColumn id="14" name="Revision"/>
    <x:tableColumn id="15" name="Source Refer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K_Evidence" displayName="TK_Evidence" ref="A6:L206" headerRowCount="1" totalsRowCount="0" totalsRowShown="0">
  <x:tableColumns count="12">
    <x:tableColumn id="1" name="Evidence ID"/>
    <x:tableColumn id="2" name="Project ID"/>
    <x:tableColumn id="3" name="Record Type"/>
    <x:tableColumn id="4" name="Origin"/>
    <x:tableColumn id="5" name="Locator"/>
    <x:tableColumn id="6" name="Captured Date"/>
    <x:tableColumn id="7" name="Captured By"/>
    <x:tableColumn id="8" name="Checksum"/>
    <x:tableColumn id="9" name="Access Class"/>
    <x:tableColumn id="10" name="Verification Status"/>
    <x:tableColumn id="11" name="Revision"/>
    <x:tableColumn id="12" name="Source 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K_History" displayName="TK_History" ref="A6:J206" headerRowCount="1" totalsRowCount="0" totalsRowShown="0">
  <x:tableColumns count="10">
    <x:tableColumn id="1" name="History ID"/>
    <x:tableColumn id="2" name="Project ID"/>
    <x:tableColumn id="3" name="Target Record ID"/>
    <x:tableColumn id="4" name="Prior Revision"/>
    <x:tableColumn id="5" name="New Revision"/>
    <x:tableColumn id="6" name="Change Reason"/>
    <x:tableColumn id="7" name="Actor"/>
    <x:tableColumn id="8" name="Occurred Date"/>
    <x:tableColumn id="9" name="Decision Reference"/>
    <x:tableColumn id="10" name="Eviden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2ff4efb60b94f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380461b29f154f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08989609a02c46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2fdfcc260da149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7bb7e5bd3d1d4c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c9e6baef70da40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3abb51a08996424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00d64068f12842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ec10b9eee0234b8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9ae54b449250493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7a82daea52574eb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5cb89dcfbf1c4df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7ec0f93660cc48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9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FDG Construction Management Professional Toolkit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7" t="str">
        <x:v>Edition</x:v>
      </x:c>
      <x:c r="B5" s="1" t="str">
        <x:v>Philippines Edition / v1.0.0-rc.1</x:v>
      </x:c>
      <x:c r="C5" s="1"/>
      <x:c r="D5" s="1"/>
      <x:c r="E5" s="1"/>
      <x:c r="F5" s="1"/>
      <x:c r="G5" s="1"/>
      <x:c r="H5" s="1"/>
    </x:row>
    <x:row r="6">
      <x:c r="A6" s="17" t="str">
        <x:v>Use</x:v>
      </x:c>
      <x:c r="B6" s="1" t="str">
        <x:v>Save a private copy before entering real project records.</x:v>
      </x:c>
      <x:c r="C6" s="1"/>
      <x:c r="D6" s="1"/>
      <x:c r="E6" s="1"/>
      <x:c r="F6" s="1"/>
      <x:c r="G6" s="1"/>
      <x:c r="H6" s="1"/>
    </x:row>
    <x:row r="7">
      <x:c r="A7" s="17" t="str">
        <x:v>1 Setup</x:v>
      </x:c>
      <x:c r="B7" s="1" t="str">
        <x:v>Enter project ID, project name, as-of date and reporting interval in Setup.</x:v>
      </x:c>
      <x:c r="C7" s="1"/>
      <x:c r="D7" s="1"/>
      <x:c r="E7" s="1"/>
      <x:c r="F7" s="1"/>
      <x:c r="G7" s="1"/>
      <x:c r="H7" s="1"/>
    </x:row>
    <x:row r="8">
      <x:c r="A8" s="17" t="str">
        <x:v>2 Baseline</x:v>
      </x:c>
      <x:c r="B8" s="1" t="str">
        <x:v>Enter unique WBS IDs, units, approved baseline quantities and weights totaling 100%.</x:v>
      </x:c>
      <x:c r="C8" s="1"/>
      <x:c r="D8" s="1"/>
      <x:c r="E8" s="1"/>
      <x:c r="F8" s="1"/>
      <x:c r="G8" s="1"/>
      <x:c r="H8" s="1"/>
    </x:row>
    <x:row r="9">
      <x:c r="A9" s="17" t="str">
        <x:v>3 Capture</x:v>
      </x:c>
      <x:c r="B9" s="1" t="str">
        <x:v>Record Daily events once. Reported quantity and accepted quantity remain separate.</x:v>
      </x:c>
      <x:c r="C9" s="1"/>
      <x:c r="D9" s="1"/>
      <x:c r="E9" s="1"/>
      <x:c r="F9" s="1"/>
      <x:c r="G9" s="1"/>
      <x:c r="H9" s="1"/>
    </x:row>
    <x:row r="10">
      <x:c r="A10" s="17" t="str">
        <x:v>4 Review</x:v>
      </x:c>
      <x:c r="B10" s="1" t="str">
        <x:v>Enter actual reviewer identity, evidence and dates. A selected status is not a signature.</x:v>
      </x:c>
      <x:c r="C10" s="1"/>
      <x:c r="D10" s="1"/>
      <x:c r="E10" s="1"/>
      <x:c r="F10" s="1"/>
      <x:c r="G10" s="1"/>
      <x:c r="H10" s="1"/>
    </x:row>
    <x:row r="11">
      <x:c r="A11" s="17" t="str">
        <x:v>5 Report</x:v>
      </x:c>
      <x:c r="B11" s="1" t="str">
        <x:v>Report uses the selected interval; Dashboard uses the as-of date.</x:v>
      </x:c>
      <x:c r="C11" s="1"/>
      <x:c r="D11" s="1"/>
      <x:c r="E11" s="1"/>
      <x:c r="F11" s="1"/>
      <x:c r="G11" s="1"/>
      <x:c r="H11" s="1"/>
    </x:row>
    <x:row r="12">
      <x:c r="A12" s="17" t="str">
        <x:v>6 Control</x:v>
      </x:c>
      <x:c r="B12" s="1" t="str">
        <x:v>Use the registers, Evidence and History. Preserve prior issued revisions.</x:v>
      </x:c>
      <x:c r="C12" s="1"/>
      <x:c r="D12" s="1"/>
      <x:c r="E12" s="1"/>
      <x:c r="F12" s="1"/>
      <x:c r="G12" s="1"/>
      <x:c r="H12" s="1"/>
    </x:row>
    <x:row r="13">
      <x:c r="A13" s="17" t="str">
        <x:v>Capacity</x:v>
      </x:c>
      <x:c r="B13" s="1" t="str">
        <x:v>200 rows per register (rows7-206). Extend ALL formulas, validation and ranges before more rows.</x:v>
      </x:c>
      <x:c r="C13" s="1"/>
      <x:c r="D13" s="1"/>
      <x:c r="E13" s="1"/>
      <x:c r="F13" s="1"/>
      <x:c r="G13" s="1"/>
      <x:c r="H13" s="1"/>
    </x:row>
    <x:row r="14">
      <x:c r="A14" s="17" t="str">
        <x:v>Input colors</x:v>
      </x:c>
      <x:c r="B14" s="1" t="str">
        <x:v>Pale amber: editable. Pale green: calculated; do not overwrite.</x:v>
      </x:c>
      <x:c r="C14" s="1"/>
      <x:c r="D14" s="1"/>
      <x:c r="E14" s="1"/>
      <x:c r="F14" s="1"/>
      <x:c r="G14" s="1"/>
      <x:c r="H14" s="1"/>
    </x:row>
    <x:row r="15">
      <x:c r="A15" s="17" t="str">
        <x:v>Privacy</x:v>
      </x:c>
      <x:c r="B15" s="1" t="str">
        <x:v>Public source contains blank templates and synthetic examples only. Keep client copies private.</x:v>
      </x:c>
      <x:c r="C15" s="1"/>
      <x:c r="D15" s="1"/>
      <x:c r="E15" s="1"/>
      <x:c r="F15" s="1"/>
      <x:c r="G15" s="1"/>
      <x:c r="H15" s="1"/>
    </x:row>
    <x:row r="16">
      <x:c r="A16" s="17" t="str">
        <x:v>Limits</x:v>
      </x:c>
      <x:c r="B16" s="1" t="str">
        <x:v>Single-editor files. No automatic permission enforcement, conflict merging or legal certification.</x:v>
      </x:c>
      <x:c r="C16" s="1"/>
      <x:c r="D16" s="1"/>
      <x:c r="E16" s="1"/>
      <x:c r="F16" s="1"/>
      <x:c r="G16" s="1"/>
      <x:c r="H16" s="1"/>
    </x:row>
    <x:row r="17">
      <x:c r="A17" s="18" t="str">
        <x:v>Sample mode</x:v>
      </x:c>
      <x:c r="B17" t="str">
        <x:v>BLANK TEMPLATE - no real project loaded</x:v>
      </x:c>
    </x:row>
    <x:row r="18">
      <x:c r="A18" s="18" t="str">
        <x:v>Help</x:v>
      </x:c>
      <x:c r="B18" t="str">
        <x:v>Read IMPLEMENTATION_GUIDE.md in this release folder.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Project management dashboard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1" t="str">
        <x:v>Project</x:v>
      </x:c>
      <x:c r="B4" s="1" t="str">
        <x:f>IF(Setup!B4="","No project selected",Setup!B4)</x:f>
        <x:v>No project selected</x:v>
      </x:c>
      <x:c r="C4" s="1"/>
      <x:c r="D4" s="1"/>
      <x:c r="E4" s="1"/>
      <x:c r="F4" s="1"/>
      <x:c r="G4" s="1"/>
      <x:c r="H4" s="1"/>
    </x:row>
    <x:row r="5" ht="26" customHeight="1">
      <x:c r="A5" s="1" t="str">
        <x:v>As-of date</x:v>
      </x:c>
      <x:c r="B5" s="24" t="str">
        <x:f>IF(Setup!B6="","",Setup!B6)</x:f>
      </x:c>
      <x:c r="C5" s="1"/>
      <x:c r="D5" s="1"/>
      <x:c r="E5" s="1"/>
      <x:c r="F5" s="1"/>
      <x:c r="G5" s="1"/>
      <x:c r="H5" s="1"/>
    </x:row>
    <x:row r="6" ht="26" customHeight="1">
      <x:c r="A6" s="1" t="str">
        <x:v>Accepted weighted progress</x:v>
      </x:c>
      <x:c r="B6" s="25" t="str">
        <x:f>IF(AND(AND(COUNTIFS(WBS!$P$7:$P$206,"Valid")=COUNTA(WBS!$A$7:$A$206),Setup!$B$4&lt;&gt;"",ISNUMBER(Setup!$B$6),COUNT(WBS!$F$7:$F$206)=COUNTA(WBS!$A$7:$A$206),ABS(SUM(WBS!$F$7:$F$206)-1)&lt;0.000001,COUNTA(WBS!$A$7:$A$206)&gt;0),COUNT(WBS!$K$7:$K$206)=COUNTA(WBS!$A$7:$A$206)),SUM(WBS!$K$7:$K$206),"n.a.")</x:f>
        <x:v>n.a.</x:v>
      </x:c>
      <x:c r="C6" s="1"/>
      <x:c r="D6" s="1"/>
      <x:c r="E6" s="1"/>
      <x:c r="F6" s="1"/>
      <x:c r="G6" s="1"/>
      <x:c r="H6" s="1"/>
    </x:row>
    <x:row r="7" ht="26" customHeight="1">
      <x:c r="A7" s="1" t="str">
        <x:v>Planned weighted progress</x:v>
      </x:c>
      <x:c r="B7" s="25" t="str">
        <x:f>IF(AND(AND(COUNTIFS(WBS!$P$7:$P$206,"Valid")=COUNTA(WBS!$A$7:$A$206),Setup!$B$4&lt;&gt;"",ISNUMBER(Setup!$B$6),COUNT(WBS!$F$7:$F$206)=COUNTA(WBS!$A$7:$A$206),ABS(SUM(WBS!$F$7:$F$206)-1)&lt;0.000001,COUNTA(WBS!$A$7:$A$206)&gt;0),COUNT(WBS!$L$7:$L$206)=COUNTA(WBS!$A$7:$A$206)),SUM(WBS!$L$7:$L$206),"n.a.")</x:f>
        <x:v>n.a.</x:v>
      </x:c>
      <x:c r="C7" s="1"/>
      <x:c r="D7" s="1"/>
      <x:c r="E7" s="1"/>
      <x:c r="F7" s="1"/>
      <x:c r="G7" s="1"/>
      <x:c r="H7" s="1"/>
    </x:row>
    <x:row r="8" ht="26" customHeight="1">
      <x:c r="A8" s="1" t="str">
        <x:v>Variance (percentage points)</x:v>
      </x:c>
      <x:c r="B8" s="25" t="str">
        <x:f>IF(AND(ISNUMBER(B6),ISNUMBER(B7)),B6-B7,"n.a.")</x:f>
        <x:v>n.a.</x:v>
      </x:c>
      <x:c r="C8" s="1"/>
      <x:c r="D8" s="1"/>
      <x:c r="E8" s="1"/>
      <x:c r="F8" s="1"/>
      <x:c r="G8" s="1"/>
      <x:c r="H8" s="1"/>
    </x:row>
    <x:row r="9" ht="26" customHeight="1">
      <x:c r="A9" s="1" t="str">
        <x:v>RFI overdue (not accepted/rejected)</x:v>
      </x:c>
      <x:c r="B9" s="1" t="str">
        <x:f>IF(Setup!B6="","n.a.",COUNTIFS(RFI!$A$7:$A$206,"&lt;&gt;",RFI!$F$7:$F$206,"&gt;0",RFI!$F$7:$F$206,"&lt;"&amp;Setup!B6,RFI!$H$7:$H$206,"&lt;&gt;Accepted",RFI!$H$7:$H$206,"&lt;&gt;Rejected"))</x:f>
        <x:v>n.a.</x:v>
      </x:c>
      <x:c r="C9" s="1"/>
      <x:c r="D9" s="1"/>
      <x:c r="E9" s="1"/>
      <x:c r="F9" s="1"/>
      <x:c r="G9" s="1"/>
      <x:c r="H9" s="1"/>
    </x:row>
    <x:row r="10" ht="26" customHeight="1">
      <x:c r="A10" s="1" t="str">
        <x:v>Open issues</x:v>
      </x:c>
      <x:c r="B10" s="1" t="n">
        <x:f>COUNTIFS(Issues!$A$7:$A$206,"&lt;&gt;",Issues!$J$7:$J$206,"&lt;&gt;Closed")</x:f>
        <x:v>0</x:v>
      </x:c>
      <x:c r="C10" s="1"/>
      <x:c r="D10" s="1"/>
      <x:c r="E10" s="1"/>
      <x:c r="F10" s="1"/>
      <x:c r="G10" s="1"/>
      <x:c r="H10" s="1"/>
    </x:row>
    <x:row r="11" ht="26" customHeight="1">
      <x:c r="A11" s="1" t="str">
        <x:v>Open punch items</x:v>
      </x:c>
      <x:c r="B11" s="1" t="n">
        <x:f>COUNTIFS(Punch!$A$7:$A$206,"&lt;&gt;",Punch!$I$7:$I$206,"&lt;&gt;Closed")</x:f>
        <x:v>0</x:v>
      </x:c>
      <x:c r="C11" s="1"/>
      <x:c r="D11" s="1"/>
      <x:c r="E11" s="1"/>
      <x:c r="F11" s="1"/>
      <x:c r="G11" s="1"/>
      <x:c r="H11" s="1"/>
    </x:row>
    <x:row r="12" ht="26" customHeight="1">
      <x:c r="A12" s="1" t="str">
        <x:v>Turnover pending acceptance</x:v>
      </x:c>
      <x:c r="B12" s="1" t="n">
        <x:f>COUNTIFS(Turnover!$A$7:$A$206,"&lt;&gt;",Turnover!$I$7:$I$206,"&lt;&gt;Accepted")</x:f>
        <x:v>0</x:v>
      </x:c>
      <x:c r="C12" s="1"/>
      <x:c r="D12" s="1"/>
      <x:c r="E12" s="1"/>
      <x:c r="F12" s="1"/>
      <x:c r="G12" s="1"/>
      <x:c r="H12" s="1"/>
    </x:row>
    <x:row r="13" ht="26" customHeight="1">
      <x:c r="A13" s="1" t="str">
        <x:v>WBS weight total</x:v>
      </x:c>
      <x:c r="B13" s="25" t="str">
        <x:f>IF(COUNTA(WBS!A7:A206)=0,"n.a.",SUM(WBS!F7:F206))</x:f>
        <x:v>n.a.</x:v>
      </x:c>
      <x:c r="C13" s="1"/>
      <x:c r="D13" s="1"/>
      <x:c r="E13" s="1"/>
      <x:c r="F13" s="1"/>
      <x:c r="G13" s="1"/>
      <x:c r="H13" s="1"/>
    </x:row>
    <x:row r="14" ht="26" customHeight="1">
      <x:c r="A14" s="1" t="str">
        <x:v>Progress basis</x:v>
      </x:c>
      <x:c r="B14" s="1" t="str">
        <x:f>IF(AND(COUNTIFS(WBS!$P$7:$P$206,"Valid")=COUNTA(WBS!$A$7:$A$206),Setup!$B$4&lt;&gt;"",ISNUMBER(Setup!$B$6),COUNT(WBS!$F$7:$F$206)=COUNTA(WBS!$A$7:$A$206),ABS(SUM(WBS!$F$7:$F$206)-1)&lt;0.000001,COUNTA(WBS!$A$7:$A$206)&gt;0),"Review data and approvals","Missing project, date or complete 100% weights")</x:f>
        <x:v>Missing project, date or complete 100% weights</x:v>
      </x:c>
      <x:c r="C14" s="1"/>
      <x:c r="D14" s="1"/>
      <x:c r="E14" s="1"/>
      <x:c r="F14" s="1"/>
      <x:c r="G14" s="1"/>
      <x:c r="H14" s="1"/>
    </x:row>
    <x:row r="15" ht="26" customHeight="1">
      <x:c r="A15" s="1" t="str">
        <x:v>Evidence / quantity warnings</x:v>
      </x:c>
      <x:c r="B15" s="1" t="n">
        <x:f>COUNTIFS(Daily!$P$7:$P$206,"Duplicate event ID")+COUNTIFS(Daily!$A$7:$A$206,"&lt;&gt;",Daily!$P$7:$P$206,"Missing approval evidence")+COUNTIFS(Daily!$A$7:$A$206,"&lt;&gt;",Daily!$Q$7:$Q$206,"Check WBS / unit")+COUNTIFS(Daily!$A$7:$A$206,"&lt;&gt;",Daily!$R$7:$R$206,"Check*")</x:f>
        <x:v>0</x:v>
      </x:c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8">
      <x:c r="A18" s="26" t="str">
        <x:v>Progress is evidence-based recorded quantity, not certification, billability or payment.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2" t="str">
        <x:v>Period progress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Project</x:v>
      </x:c>
      <x:c r="B4" s="1" t="str">
        <x:f>IF(Setup!B4="","",Setup!B4)</x:f>
      </x:c>
      <x:c r="C4" s="1" t="str">
        <x:v>Start</x:v>
      </x:c>
      <x:c r="D4" s="27" t="str">
        <x:f>IF(Setup!B7="","",Setup!B7)</x:f>
      </x:c>
      <x:c r="E4" s="27" t="str">
        <x:v>End</x:v>
      </x:c>
      <x:c r="F4" s="27" t="str">
        <x:f>IF(Setup!B8="","",Setup!B8)</x:f>
      </x:c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2" customHeight="1">
      <x:c r="A6" s="8" t="str">
        <x:v>WBS ID</x:v>
      </x:c>
      <x:c r="B6" s="8" t="str">
        <x:v>Activity</x:v>
      </x:c>
      <x:c r="C6" s="8" t="str">
        <x:v>Unit</x:v>
      </x:c>
      <x:c r="D6" s="8" t="str">
        <x:v>Reported in period</x:v>
      </x:c>
      <x:c r="E6" s="8" t="str">
        <x:v>Accepted in period</x:v>
      </x:c>
      <x:c r="F6" s="8" t="str">
        <x:v>Accepted to cutoff</x:v>
      </x:c>
      <x:c r="G6" s="8" t="str">
        <x:v>Baseline quantity</x:v>
      </x:c>
      <x:c r="H6" s="8" t="str">
        <x:v>Accepted fraction</x:v>
      </x:c>
      <x:c r="I6" s="1"/>
      <x:c r="J6" s="1"/>
      <x:c r="K6" s="1"/>
      <x:c r="L6" s="1"/>
    </x:row>
    <x:row r="7">
      <x:c r="A7" s="1" t="str">
        <x:f>IF(WBS!A7="","",WBS!A7)</x:f>
      </x:c>
      <x:c r="B7" s="1" t="str">
        <x:f>IF(A7="","",WBS!C7)</x:f>
      </x:c>
      <x:c r="C7" s="1" t="str">
        <x:f>IF(A7="","",WBS!D7)</x:f>
      </x:c>
      <x:c r="D7" s="28" t="str">
        <x:f>IF(OR(A7="",Setup!$B$7="",Setup!$B$8="",Setup!$B$8&lt;Setup!$B$7),"",SUMIFS(Daily!$G$7:$G$206,Daily!$Q$7:$Q$206,"Matched",Daily!$P$7:$P$206,"&lt;&gt;Duplicate event ID",Daily!$G$7:$G$206,"&gt;=0",Daily!$C$7:$C$206,A7,Daily!$B$7:$B$206,Setup!$B$4,Daily!$D$7:$D$206,"&gt;="&amp;Setup!$B$7,Daily!$D$7:$D$206,"&lt;="&amp;Setup!$B$8))</x:f>
      </x:c>
      <x:c r="E7" s="28" t="str">
        <x:f>IF(OR(A7="",Setup!$B$7="",Setup!$B$8="",Setup!$B$8&lt;Setup!$B$7),"",SUMIFS(Daily!$H$7:$H$206,Daily!$C$7:$C$206,A7,Daily!$B$7:$B$206,Setup!$B$4,Daily!$I$7:$I$206,"Accepted",Daily!$P$7:$P$206,"Recorded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" s="28" t="str">
        <x:f>IF(A7="","",WBS!I7)</x:f>
      </x:c>
      <x:c r="G7" s="28" t="str">
        <x:f>IF(A7="","",WBS!E7)</x:f>
      </x:c>
      <x:c r="H7" s="25" t="str">
        <x:f>IF(A7="","",WBS!J7)</x:f>
      </x:c>
      <x:c r="I7" s="1"/>
      <x:c r="J7" s="1"/>
      <x:c r="K7" s="1"/>
      <x:c r="L7" s="1"/>
    </x:row>
    <x:row r="8">
      <x:c r="A8" s="1" t="str">
        <x:f>IF(WBS!A8="","",WBS!A8)</x:f>
      </x:c>
      <x:c r="B8" s="1" t="str">
        <x:f>IF(A8="","",WBS!C8)</x:f>
      </x:c>
      <x:c r="C8" s="1" t="str">
        <x:f>IF(A8="","",WBS!D8)</x:f>
      </x:c>
      <x:c r="D8" s="28" t="str">
        <x:f>IF(OR(A8="",Setup!$B$7="",Setup!$B$8="",Setup!$B$8&lt;Setup!$B$7),"",SUMIFS(Daily!$G$7:$G$206,Daily!$Q$7:$Q$206,"Matched",Daily!$P$7:$P$206,"&lt;&gt;Duplicate event ID",Daily!$G$7:$G$206,"&gt;=0",Daily!$C$7:$C$206,A8,Daily!$B$7:$B$206,Setup!$B$4,Daily!$D$7:$D$206,"&gt;="&amp;Setup!$B$7,Daily!$D$7:$D$206,"&lt;="&amp;Setup!$B$8))</x:f>
      </x:c>
      <x:c r="E8" s="28" t="str">
        <x:f>IF(OR(A8="",Setup!$B$7="",Setup!$B$8="",Setup!$B$8&lt;Setup!$B$7),"",SUMIFS(Daily!$H$7:$H$206,Daily!$C$7:$C$206,A8,Daily!$B$7:$B$206,Setup!$B$4,Daily!$I$7:$I$206,"Accepted",Daily!$P$7:$P$206,"Recorded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" s="28" t="str">
        <x:f>IF(A8="","",WBS!I8)</x:f>
      </x:c>
      <x:c r="G8" s="28" t="str">
        <x:f>IF(A8="","",WBS!E8)</x:f>
      </x:c>
      <x:c r="H8" s="25" t="str">
        <x:f>IF(A8="","",WBS!J8)</x:f>
      </x:c>
      <x:c r="I8" s="1"/>
      <x:c r="J8" s="1"/>
      <x:c r="K8" s="1"/>
      <x:c r="L8" s="1"/>
    </x:row>
    <x:row r="9">
      <x:c r="A9" s="1" t="str">
        <x:f>IF(WBS!A9="","",WBS!A9)</x:f>
      </x:c>
      <x:c r="B9" s="1" t="str">
        <x:f>IF(A9="","",WBS!C9)</x:f>
      </x:c>
      <x:c r="C9" s="1" t="str">
        <x:f>IF(A9="","",WBS!D9)</x:f>
      </x:c>
      <x:c r="D9" s="28" t="str">
        <x:f>IF(OR(A9="",Setup!$B$7="",Setup!$B$8="",Setup!$B$8&lt;Setup!$B$7),"",SUMIFS(Daily!$G$7:$G$206,Daily!$Q$7:$Q$206,"Matched",Daily!$P$7:$P$206,"&lt;&gt;Duplicate event ID",Daily!$G$7:$G$206,"&gt;=0",Daily!$C$7:$C$206,A9,Daily!$B$7:$B$206,Setup!$B$4,Daily!$D$7:$D$206,"&gt;="&amp;Setup!$B$7,Daily!$D$7:$D$206,"&lt;="&amp;Setup!$B$8))</x:f>
      </x:c>
      <x:c r="E9" s="28" t="str">
        <x:f>IF(OR(A9="",Setup!$B$7="",Setup!$B$8="",Setup!$B$8&lt;Setup!$B$7),"",SUMIFS(Daily!$H$7:$H$206,Daily!$C$7:$C$206,A9,Daily!$B$7:$B$206,Setup!$B$4,Daily!$I$7:$I$206,"Accepted",Daily!$P$7:$P$206,"Recorded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" s="28" t="str">
        <x:f>IF(A9="","",WBS!I9)</x:f>
      </x:c>
      <x:c r="G9" s="28" t="str">
        <x:f>IF(A9="","",WBS!E9)</x:f>
      </x:c>
      <x:c r="H9" s="25" t="str">
        <x:f>IF(A9="","",WBS!J9)</x:f>
      </x:c>
      <x:c r="I9" s="1"/>
      <x:c r="J9" s="1"/>
      <x:c r="K9" s="1"/>
      <x:c r="L9" s="1"/>
    </x:row>
    <x:row r="10">
      <x:c r="A10" s="1" t="str">
        <x:f>IF(WBS!A10="","",WBS!A10)</x:f>
      </x:c>
      <x:c r="B10" s="1" t="str">
        <x:f>IF(A10="","",WBS!C10)</x:f>
      </x:c>
      <x:c r="C10" s="1" t="str">
        <x:f>IF(A10="","",WBS!D10)</x:f>
      </x:c>
      <x:c r="D10" s="28" t="str">
        <x:f>IF(OR(A10="",Setup!$B$7="",Setup!$B$8="",Setup!$B$8&lt;Setup!$B$7),"",SUMIFS(Daily!$G$7:$G$206,Daily!$Q$7:$Q$206,"Matched",Daily!$P$7:$P$206,"&lt;&gt;Duplicate event ID",Daily!$G$7:$G$206,"&gt;=0",Daily!$C$7:$C$206,A10,Daily!$B$7:$B$206,Setup!$B$4,Daily!$D$7:$D$206,"&gt;="&amp;Setup!$B$7,Daily!$D$7:$D$206,"&lt;="&amp;Setup!$B$8))</x:f>
      </x:c>
      <x:c r="E10" s="28" t="str">
        <x:f>IF(OR(A10="",Setup!$B$7="",Setup!$B$8="",Setup!$B$8&lt;Setup!$B$7),"",SUMIFS(Daily!$H$7:$H$206,Daily!$C$7:$C$206,A10,Daily!$B$7:$B$206,Setup!$B$4,Daily!$I$7:$I$206,"Accepted",Daily!$P$7:$P$206,"Recorded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" s="28" t="str">
        <x:f>IF(A10="","",WBS!I10)</x:f>
      </x:c>
      <x:c r="G10" s="28" t="str">
        <x:f>IF(A10="","",WBS!E10)</x:f>
      </x:c>
      <x:c r="H10" s="25" t="str">
        <x:f>IF(A10="","",WBS!J10)</x:f>
      </x:c>
      <x:c r="I10" s="1"/>
      <x:c r="J10" s="1"/>
      <x:c r="K10" s="1"/>
      <x:c r="L10" s="1"/>
    </x:row>
    <x:row r="11">
      <x:c r="A11" s="1" t="str">
        <x:f>IF(WBS!A11="","",WBS!A11)</x:f>
      </x:c>
      <x:c r="B11" s="1" t="str">
        <x:f>IF(A11="","",WBS!C11)</x:f>
      </x:c>
      <x:c r="C11" s="1" t="str">
        <x:f>IF(A11="","",WBS!D11)</x:f>
      </x:c>
      <x:c r="D11" s="28" t="str">
        <x:f>IF(OR(A11="",Setup!$B$7="",Setup!$B$8="",Setup!$B$8&lt;Setup!$B$7),"",SUMIFS(Daily!$G$7:$G$206,Daily!$Q$7:$Q$206,"Matched",Daily!$P$7:$P$206,"&lt;&gt;Duplicate event ID",Daily!$G$7:$G$206,"&gt;=0",Daily!$C$7:$C$206,A11,Daily!$B$7:$B$206,Setup!$B$4,Daily!$D$7:$D$206,"&gt;="&amp;Setup!$B$7,Daily!$D$7:$D$206,"&lt;="&amp;Setup!$B$8))</x:f>
      </x:c>
      <x:c r="E11" s="28" t="str">
        <x:f>IF(OR(A11="",Setup!$B$7="",Setup!$B$8="",Setup!$B$8&lt;Setup!$B$7),"",SUMIFS(Daily!$H$7:$H$206,Daily!$C$7:$C$206,A11,Daily!$B$7:$B$206,Setup!$B$4,Daily!$I$7:$I$206,"Accepted",Daily!$P$7:$P$206,"Recorded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" s="28" t="str">
        <x:f>IF(A11="","",WBS!I11)</x:f>
      </x:c>
      <x:c r="G11" s="28" t="str">
        <x:f>IF(A11="","",WBS!E11)</x:f>
      </x:c>
      <x:c r="H11" s="25" t="str">
        <x:f>IF(A11="","",WBS!J11)</x:f>
      </x:c>
      <x:c r="I11" s="1"/>
      <x:c r="J11" s="1"/>
      <x:c r="K11" s="1"/>
      <x:c r="L11" s="1"/>
    </x:row>
    <x:row r="12">
      <x:c r="A12" s="1" t="str">
        <x:f>IF(WBS!A12="","",WBS!A12)</x:f>
      </x:c>
      <x:c r="B12" s="1" t="str">
        <x:f>IF(A12="","",WBS!C12)</x:f>
      </x:c>
      <x:c r="C12" s="1" t="str">
        <x:f>IF(A12="","",WBS!D12)</x:f>
      </x:c>
      <x:c r="D12" s="28" t="str">
        <x:f>IF(OR(A12="",Setup!$B$7="",Setup!$B$8="",Setup!$B$8&lt;Setup!$B$7),"",SUMIFS(Daily!$G$7:$G$206,Daily!$Q$7:$Q$206,"Matched",Daily!$P$7:$P$206,"&lt;&gt;Duplicate event ID",Daily!$G$7:$G$206,"&gt;=0",Daily!$C$7:$C$206,A12,Daily!$B$7:$B$206,Setup!$B$4,Daily!$D$7:$D$206,"&gt;="&amp;Setup!$B$7,Daily!$D$7:$D$206,"&lt;="&amp;Setup!$B$8))</x:f>
      </x:c>
      <x:c r="E12" s="28" t="str">
        <x:f>IF(OR(A12="",Setup!$B$7="",Setup!$B$8="",Setup!$B$8&lt;Setup!$B$7),"",SUMIFS(Daily!$H$7:$H$206,Daily!$C$7:$C$206,A12,Daily!$B$7:$B$206,Setup!$B$4,Daily!$I$7:$I$206,"Accepted",Daily!$P$7:$P$206,"Recorded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" s="28" t="str">
        <x:f>IF(A12="","",WBS!I12)</x:f>
      </x:c>
      <x:c r="G12" s="28" t="str">
        <x:f>IF(A12="","",WBS!E12)</x:f>
      </x:c>
      <x:c r="H12" s="25" t="str">
        <x:f>IF(A12="","",WBS!J12)</x:f>
      </x:c>
      <x:c r="I12" s="1"/>
      <x:c r="J12" s="1"/>
      <x:c r="K12" s="1"/>
      <x:c r="L12" s="1"/>
    </x:row>
    <x:row r="13">
      <x:c r="A13" s="1" t="str">
        <x:f>IF(WBS!A13="","",WBS!A13)</x:f>
      </x:c>
      <x:c r="B13" s="1" t="str">
        <x:f>IF(A13="","",WBS!C13)</x:f>
      </x:c>
      <x:c r="C13" s="1" t="str">
        <x:f>IF(A13="","",WBS!D13)</x:f>
      </x:c>
      <x:c r="D13" s="28" t="str">
        <x:f>IF(OR(A13="",Setup!$B$7="",Setup!$B$8="",Setup!$B$8&lt;Setup!$B$7),"",SUMIFS(Daily!$G$7:$G$206,Daily!$Q$7:$Q$206,"Matched",Daily!$P$7:$P$206,"&lt;&gt;Duplicate event ID",Daily!$G$7:$G$206,"&gt;=0",Daily!$C$7:$C$206,A13,Daily!$B$7:$B$206,Setup!$B$4,Daily!$D$7:$D$206,"&gt;="&amp;Setup!$B$7,Daily!$D$7:$D$206,"&lt;="&amp;Setup!$B$8))</x:f>
      </x:c>
      <x:c r="E13" s="28" t="str">
        <x:f>IF(OR(A13="",Setup!$B$7="",Setup!$B$8="",Setup!$B$8&lt;Setup!$B$7),"",SUMIFS(Daily!$H$7:$H$206,Daily!$C$7:$C$206,A13,Daily!$B$7:$B$206,Setup!$B$4,Daily!$I$7:$I$206,"Accepted",Daily!$P$7:$P$206,"Recorded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" s="28" t="str">
        <x:f>IF(A13="","",WBS!I13)</x:f>
      </x:c>
      <x:c r="G13" s="28" t="str">
        <x:f>IF(A13="","",WBS!E13)</x:f>
      </x:c>
      <x:c r="H13" s="25" t="str">
        <x:f>IF(A13="","",WBS!J13)</x:f>
      </x:c>
      <x:c r="I13" s="1"/>
      <x:c r="J13" s="1"/>
      <x:c r="K13" s="1"/>
      <x:c r="L13" s="1"/>
    </x:row>
    <x:row r="14">
      <x:c r="A14" s="1" t="str">
        <x:f>IF(WBS!A14="","",WBS!A14)</x:f>
      </x:c>
      <x:c r="B14" s="1" t="str">
        <x:f>IF(A14="","",WBS!C14)</x:f>
      </x:c>
      <x:c r="C14" s="1" t="str">
        <x:f>IF(A14="","",WBS!D14)</x:f>
      </x:c>
      <x:c r="D14" s="28" t="str">
        <x:f>IF(OR(A14="",Setup!$B$7="",Setup!$B$8="",Setup!$B$8&lt;Setup!$B$7),"",SUMIFS(Daily!$G$7:$G$206,Daily!$Q$7:$Q$206,"Matched",Daily!$P$7:$P$206,"&lt;&gt;Duplicate event ID",Daily!$G$7:$G$206,"&gt;=0",Daily!$C$7:$C$206,A14,Daily!$B$7:$B$206,Setup!$B$4,Daily!$D$7:$D$206,"&gt;="&amp;Setup!$B$7,Daily!$D$7:$D$206,"&lt;="&amp;Setup!$B$8))</x:f>
      </x:c>
      <x:c r="E14" s="28" t="str">
        <x:f>IF(OR(A14="",Setup!$B$7="",Setup!$B$8="",Setup!$B$8&lt;Setup!$B$7),"",SUMIFS(Daily!$H$7:$H$206,Daily!$C$7:$C$206,A14,Daily!$B$7:$B$206,Setup!$B$4,Daily!$I$7:$I$206,"Accepted",Daily!$P$7:$P$206,"Recorded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" s="28" t="str">
        <x:f>IF(A14="","",WBS!I14)</x:f>
      </x:c>
      <x:c r="G14" s="28" t="str">
        <x:f>IF(A14="","",WBS!E14)</x:f>
      </x:c>
      <x:c r="H14" s="25" t="str">
        <x:f>IF(A14="","",WBS!J14)</x:f>
      </x:c>
      <x:c r="I14" s="1"/>
      <x:c r="J14" s="1"/>
      <x:c r="K14" s="1"/>
      <x:c r="L14" s="1"/>
    </x:row>
    <x:row r="15">
      <x:c r="A15" s="1" t="str">
        <x:f>IF(WBS!A15="","",WBS!A15)</x:f>
      </x:c>
      <x:c r="B15" s="1" t="str">
        <x:f>IF(A15="","",WBS!C15)</x:f>
      </x:c>
      <x:c r="C15" s="1" t="str">
        <x:f>IF(A15="","",WBS!D15)</x:f>
      </x:c>
      <x:c r="D15" s="28" t="str">
        <x:f>IF(OR(A15="",Setup!$B$7="",Setup!$B$8="",Setup!$B$8&lt;Setup!$B$7),"",SUMIFS(Daily!$G$7:$G$206,Daily!$Q$7:$Q$206,"Matched",Daily!$P$7:$P$206,"&lt;&gt;Duplicate event ID",Daily!$G$7:$G$206,"&gt;=0",Daily!$C$7:$C$206,A15,Daily!$B$7:$B$206,Setup!$B$4,Daily!$D$7:$D$206,"&gt;="&amp;Setup!$B$7,Daily!$D$7:$D$206,"&lt;="&amp;Setup!$B$8))</x:f>
      </x:c>
      <x:c r="E15" s="28" t="str">
        <x:f>IF(OR(A15="",Setup!$B$7="",Setup!$B$8="",Setup!$B$8&lt;Setup!$B$7),"",SUMIFS(Daily!$H$7:$H$206,Daily!$C$7:$C$206,A15,Daily!$B$7:$B$206,Setup!$B$4,Daily!$I$7:$I$206,"Accepted",Daily!$P$7:$P$206,"Recorded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" s="28" t="str">
        <x:f>IF(A15="","",WBS!I15)</x:f>
      </x:c>
      <x:c r="G15" s="28" t="str">
        <x:f>IF(A15="","",WBS!E15)</x:f>
      </x:c>
      <x:c r="H15" s="25" t="str">
        <x:f>IF(A15="","",WBS!J15)</x:f>
      </x:c>
      <x:c r="I15" s="1"/>
      <x:c r="J15" s="1"/>
      <x:c r="K15" s="1"/>
      <x:c r="L15" s="1"/>
    </x:row>
    <x:row r="16">
      <x:c r="A16" s="1" t="str">
        <x:f>IF(WBS!A16="","",WBS!A16)</x:f>
      </x:c>
      <x:c r="B16" s="1" t="str">
        <x:f>IF(A16="","",WBS!C16)</x:f>
      </x:c>
      <x:c r="C16" s="1" t="str">
        <x:f>IF(A16="","",WBS!D16)</x:f>
      </x:c>
      <x:c r="D16" s="28" t="str">
        <x:f>IF(OR(A16="",Setup!$B$7="",Setup!$B$8="",Setup!$B$8&lt;Setup!$B$7),"",SUMIFS(Daily!$G$7:$G$206,Daily!$Q$7:$Q$206,"Matched",Daily!$P$7:$P$206,"&lt;&gt;Duplicate event ID",Daily!$G$7:$G$206,"&gt;=0",Daily!$C$7:$C$206,A16,Daily!$B$7:$B$206,Setup!$B$4,Daily!$D$7:$D$206,"&gt;="&amp;Setup!$B$7,Daily!$D$7:$D$206,"&lt;="&amp;Setup!$B$8))</x:f>
      </x:c>
      <x:c r="E16" s="28" t="str">
        <x:f>IF(OR(A16="",Setup!$B$7="",Setup!$B$8="",Setup!$B$8&lt;Setup!$B$7),"",SUMIFS(Daily!$H$7:$H$206,Daily!$C$7:$C$206,A16,Daily!$B$7:$B$206,Setup!$B$4,Daily!$I$7:$I$206,"Accepted",Daily!$P$7:$P$206,"Recorded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" s="28" t="str">
        <x:f>IF(A16="","",WBS!I16)</x:f>
      </x:c>
      <x:c r="G16" s="28" t="str">
        <x:f>IF(A16="","",WBS!E16)</x:f>
      </x:c>
      <x:c r="H16" s="25" t="str">
        <x:f>IF(A16="","",WBS!J16)</x:f>
      </x:c>
      <x:c r="I16" s="1"/>
      <x:c r="J16" s="1"/>
      <x:c r="K16" s="1"/>
      <x:c r="L16" s="1"/>
    </x:row>
    <x:row r="17">
      <x:c r="A17" t="str">
        <x:f>IF(WBS!A17="","",WBS!A17)</x:f>
      </x:c>
      <x:c r="B17" t="str">
        <x:f>IF(A17="","",WBS!C17)</x:f>
      </x:c>
      <x:c r="C17" t="str">
        <x:f>IF(A17="","",WBS!D17)</x:f>
      </x:c>
      <x:c r="D17" s="29" t="str">
        <x:f>IF(OR(A17="",Setup!$B$7="",Setup!$B$8="",Setup!$B$8&lt;Setup!$B$7),"",SUMIFS(Daily!$G$7:$G$206,Daily!$Q$7:$Q$206,"Matched",Daily!$P$7:$P$206,"&lt;&gt;Duplicate event ID",Daily!$G$7:$G$206,"&gt;=0",Daily!$C$7:$C$206,A17,Daily!$B$7:$B$206,Setup!$B$4,Daily!$D$7:$D$206,"&gt;="&amp;Setup!$B$7,Daily!$D$7:$D$206,"&lt;="&amp;Setup!$B$8))</x:f>
      </x:c>
      <x:c r="E17" s="29" t="str">
        <x:f>IF(OR(A17="",Setup!$B$7="",Setup!$B$8="",Setup!$B$8&lt;Setup!$B$7),"",SUMIFS(Daily!$H$7:$H$206,Daily!$C$7:$C$206,A17,Daily!$B$7:$B$206,Setup!$B$4,Daily!$I$7:$I$206,"Accepted",Daily!$P$7:$P$206,"Recorded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" s="29" t="str">
        <x:f>IF(A17="","",WBS!I17)</x:f>
      </x:c>
      <x:c r="G17" s="29" t="str">
        <x:f>IF(A17="","",WBS!E17)</x:f>
      </x:c>
      <x:c r="H17" s="30" t="str">
        <x:f>IF(A17="","",WBS!J17)</x:f>
      </x:c>
    </x:row>
    <x:row r="18">
      <x:c r="A18" t="str">
        <x:f>IF(WBS!A18="","",WBS!A18)</x:f>
      </x:c>
      <x:c r="B18" t="str">
        <x:f>IF(A18="","",WBS!C18)</x:f>
      </x:c>
      <x:c r="C18" t="str">
        <x:f>IF(A18="","",WBS!D18)</x:f>
      </x:c>
      <x:c r="D18" s="29" t="str">
        <x:f>IF(OR(A18="",Setup!$B$7="",Setup!$B$8="",Setup!$B$8&lt;Setup!$B$7),"",SUMIFS(Daily!$G$7:$G$206,Daily!$Q$7:$Q$206,"Matched",Daily!$P$7:$P$206,"&lt;&gt;Duplicate event ID",Daily!$G$7:$G$206,"&gt;=0",Daily!$C$7:$C$206,A18,Daily!$B$7:$B$206,Setup!$B$4,Daily!$D$7:$D$206,"&gt;="&amp;Setup!$B$7,Daily!$D$7:$D$206,"&lt;="&amp;Setup!$B$8))</x:f>
      </x:c>
      <x:c r="E18" s="29" t="str">
        <x:f>IF(OR(A18="",Setup!$B$7="",Setup!$B$8="",Setup!$B$8&lt;Setup!$B$7),"",SUMIFS(Daily!$H$7:$H$206,Daily!$C$7:$C$206,A18,Daily!$B$7:$B$206,Setup!$B$4,Daily!$I$7:$I$206,"Accepted",Daily!$P$7:$P$206,"Recorded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" s="29" t="str">
        <x:f>IF(A18="","",WBS!I18)</x:f>
      </x:c>
      <x:c r="G18" s="29" t="str">
        <x:f>IF(A18="","",WBS!E18)</x:f>
      </x:c>
      <x:c r="H18" s="30" t="str">
        <x:f>IF(A18="","",WBS!J18)</x:f>
      </x:c>
    </x:row>
    <x:row r="19">
      <x:c r="A19" t="str">
        <x:f>IF(WBS!A19="","",WBS!A19)</x:f>
      </x:c>
      <x:c r="B19" t="str">
        <x:f>IF(A19="","",WBS!C19)</x:f>
      </x:c>
      <x:c r="C19" t="str">
        <x:f>IF(A19="","",WBS!D19)</x:f>
      </x:c>
      <x:c r="D19" s="29" t="str">
        <x:f>IF(OR(A19="",Setup!$B$7="",Setup!$B$8="",Setup!$B$8&lt;Setup!$B$7),"",SUMIFS(Daily!$G$7:$G$206,Daily!$Q$7:$Q$206,"Matched",Daily!$P$7:$P$206,"&lt;&gt;Duplicate event ID",Daily!$G$7:$G$206,"&gt;=0",Daily!$C$7:$C$206,A19,Daily!$B$7:$B$206,Setup!$B$4,Daily!$D$7:$D$206,"&gt;="&amp;Setup!$B$7,Daily!$D$7:$D$206,"&lt;="&amp;Setup!$B$8))</x:f>
      </x:c>
      <x:c r="E19" s="29" t="str">
        <x:f>IF(OR(A19="",Setup!$B$7="",Setup!$B$8="",Setup!$B$8&lt;Setup!$B$7),"",SUMIFS(Daily!$H$7:$H$206,Daily!$C$7:$C$206,A19,Daily!$B$7:$B$206,Setup!$B$4,Daily!$I$7:$I$206,"Accepted",Daily!$P$7:$P$206,"Recorded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" s="29" t="str">
        <x:f>IF(A19="","",WBS!I19)</x:f>
      </x:c>
      <x:c r="G19" s="29" t="str">
        <x:f>IF(A19="","",WBS!E19)</x:f>
      </x:c>
      <x:c r="H19" s="30" t="str">
        <x:f>IF(A19="","",WBS!J19)</x:f>
      </x:c>
    </x:row>
    <x:row r="20">
      <x:c r="A20" t="str">
        <x:f>IF(WBS!A20="","",WBS!A20)</x:f>
      </x:c>
      <x:c r="B20" t="str">
        <x:f>IF(A20="","",WBS!C20)</x:f>
      </x:c>
      <x:c r="C20" t="str">
        <x:f>IF(A20="","",WBS!D20)</x:f>
      </x:c>
      <x:c r="D20" s="29" t="str">
        <x:f>IF(OR(A20="",Setup!$B$7="",Setup!$B$8="",Setup!$B$8&lt;Setup!$B$7),"",SUMIFS(Daily!$G$7:$G$206,Daily!$Q$7:$Q$206,"Matched",Daily!$P$7:$P$206,"&lt;&gt;Duplicate event ID",Daily!$G$7:$G$206,"&gt;=0",Daily!$C$7:$C$206,A20,Daily!$B$7:$B$206,Setup!$B$4,Daily!$D$7:$D$206,"&gt;="&amp;Setup!$B$7,Daily!$D$7:$D$206,"&lt;="&amp;Setup!$B$8))</x:f>
      </x:c>
      <x:c r="E20" s="29" t="str">
        <x:f>IF(OR(A20="",Setup!$B$7="",Setup!$B$8="",Setup!$B$8&lt;Setup!$B$7),"",SUMIFS(Daily!$H$7:$H$206,Daily!$C$7:$C$206,A20,Daily!$B$7:$B$206,Setup!$B$4,Daily!$I$7:$I$206,"Accepted",Daily!$P$7:$P$206,"Recorded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" s="29" t="str">
        <x:f>IF(A20="","",WBS!I20)</x:f>
      </x:c>
      <x:c r="G20" s="29" t="str">
        <x:f>IF(A20="","",WBS!E20)</x:f>
      </x:c>
      <x:c r="H20" s="30" t="str">
        <x:f>IF(A20="","",WBS!J20)</x:f>
      </x:c>
    </x:row>
    <x:row r="21">
      <x:c r="A21" t="str">
        <x:f>IF(WBS!A21="","",WBS!A21)</x:f>
      </x:c>
      <x:c r="B21" t="str">
        <x:f>IF(A21="","",WBS!C21)</x:f>
      </x:c>
      <x:c r="C21" t="str">
        <x:f>IF(A21="","",WBS!D21)</x:f>
      </x:c>
      <x:c r="D21" s="29" t="str">
        <x:f>IF(OR(A21="",Setup!$B$7="",Setup!$B$8="",Setup!$B$8&lt;Setup!$B$7),"",SUMIFS(Daily!$G$7:$G$206,Daily!$Q$7:$Q$206,"Matched",Daily!$P$7:$P$206,"&lt;&gt;Duplicate event ID",Daily!$G$7:$G$206,"&gt;=0",Daily!$C$7:$C$206,A21,Daily!$B$7:$B$206,Setup!$B$4,Daily!$D$7:$D$206,"&gt;="&amp;Setup!$B$7,Daily!$D$7:$D$206,"&lt;="&amp;Setup!$B$8))</x:f>
      </x:c>
      <x:c r="E21" s="29" t="str">
        <x:f>IF(OR(A21="",Setup!$B$7="",Setup!$B$8="",Setup!$B$8&lt;Setup!$B$7),"",SUMIFS(Daily!$H$7:$H$206,Daily!$C$7:$C$206,A21,Daily!$B$7:$B$206,Setup!$B$4,Daily!$I$7:$I$206,"Accepted",Daily!$P$7:$P$206,"Recorded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1" s="29" t="str">
        <x:f>IF(A21="","",WBS!I21)</x:f>
      </x:c>
      <x:c r="G21" s="29" t="str">
        <x:f>IF(A21="","",WBS!E21)</x:f>
      </x:c>
      <x:c r="H21" s="30" t="str">
        <x:f>IF(A21="","",WBS!J21)</x:f>
      </x:c>
    </x:row>
    <x:row r="22">
      <x:c r="A22" t="str">
        <x:f>IF(WBS!A22="","",WBS!A22)</x:f>
      </x:c>
      <x:c r="B22" t="str">
        <x:f>IF(A22="","",WBS!C22)</x:f>
      </x:c>
      <x:c r="C22" t="str">
        <x:f>IF(A22="","",WBS!D22)</x:f>
      </x:c>
      <x:c r="D22" s="29" t="str">
        <x:f>IF(OR(A22="",Setup!$B$7="",Setup!$B$8="",Setup!$B$8&lt;Setup!$B$7),"",SUMIFS(Daily!$G$7:$G$206,Daily!$Q$7:$Q$206,"Matched",Daily!$P$7:$P$206,"&lt;&gt;Duplicate event ID",Daily!$G$7:$G$206,"&gt;=0",Daily!$C$7:$C$206,A22,Daily!$B$7:$B$206,Setup!$B$4,Daily!$D$7:$D$206,"&gt;="&amp;Setup!$B$7,Daily!$D$7:$D$206,"&lt;="&amp;Setup!$B$8))</x:f>
      </x:c>
      <x:c r="E22" s="29" t="str">
        <x:f>IF(OR(A22="",Setup!$B$7="",Setup!$B$8="",Setup!$B$8&lt;Setup!$B$7),"",SUMIFS(Daily!$H$7:$H$206,Daily!$C$7:$C$206,A22,Daily!$B$7:$B$206,Setup!$B$4,Daily!$I$7:$I$206,"Accepted",Daily!$P$7:$P$206,"Recorded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2" s="29" t="str">
        <x:f>IF(A22="","",WBS!I22)</x:f>
      </x:c>
      <x:c r="G22" s="29" t="str">
        <x:f>IF(A22="","",WBS!E22)</x:f>
      </x:c>
      <x:c r="H22" s="30" t="str">
        <x:f>IF(A22="","",WBS!J22)</x:f>
      </x:c>
    </x:row>
    <x:row r="23">
      <x:c r="A23" t="str">
        <x:f>IF(WBS!A23="","",WBS!A23)</x:f>
      </x:c>
      <x:c r="B23" t="str">
        <x:f>IF(A23="","",WBS!C23)</x:f>
      </x:c>
      <x:c r="C23" t="str">
        <x:f>IF(A23="","",WBS!D23)</x:f>
      </x:c>
      <x:c r="D23" s="29" t="str">
        <x:f>IF(OR(A23="",Setup!$B$7="",Setup!$B$8="",Setup!$B$8&lt;Setup!$B$7),"",SUMIFS(Daily!$G$7:$G$206,Daily!$Q$7:$Q$206,"Matched",Daily!$P$7:$P$206,"&lt;&gt;Duplicate event ID",Daily!$G$7:$G$206,"&gt;=0",Daily!$C$7:$C$206,A23,Daily!$B$7:$B$206,Setup!$B$4,Daily!$D$7:$D$206,"&gt;="&amp;Setup!$B$7,Daily!$D$7:$D$206,"&lt;="&amp;Setup!$B$8))</x:f>
      </x:c>
      <x:c r="E23" s="29" t="str">
        <x:f>IF(OR(A23="",Setup!$B$7="",Setup!$B$8="",Setup!$B$8&lt;Setup!$B$7),"",SUMIFS(Daily!$H$7:$H$206,Daily!$C$7:$C$206,A23,Daily!$B$7:$B$206,Setup!$B$4,Daily!$I$7:$I$206,"Accepted",Daily!$P$7:$P$206,"Recorded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3" s="29" t="str">
        <x:f>IF(A23="","",WBS!I23)</x:f>
      </x:c>
      <x:c r="G23" s="29" t="str">
        <x:f>IF(A23="","",WBS!E23)</x:f>
      </x:c>
      <x:c r="H23" s="30" t="str">
        <x:f>IF(A23="","",WBS!J23)</x:f>
      </x:c>
    </x:row>
    <x:row r="24">
      <x:c r="A24" t="str">
        <x:f>IF(WBS!A24="","",WBS!A24)</x:f>
      </x:c>
      <x:c r="B24" t="str">
        <x:f>IF(A24="","",WBS!C24)</x:f>
      </x:c>
      <x:c r="C24" t="str">
        <x:f>IF(A24="","",WBS!D24)</x:f>
      </x:c>
      <x:c r="D24" s="29" t="str">
        <x:f>IF(OR(A24="",Setup!$B$7="",Setup!$B$8="",Setup!$B$8&lt;Setup!$B$7),"",SUMIFS(Daily!$G$7:$G$206,Daily!$Q$7:$Q$206,"Matched",Daily!$P$7:$P$206,"&lt;&gt;Duplicate event ID",Daily!$G$7:$G$206,"&gt;=0",Daily!$C$7:$C$206,A24,Daily!$B$7:$B$206,Setup!$B$4,Daily!$D$7:$D$206,"&gt;="&amp;Setup!$B$7,Daily!$D$7:$D$206,"&lt;="&amp;Setup!$B$8))</x:f>
      </x:c>
      <x:c r="E24" s="29" t="str">
        <x:f>IF(OR(A24="",Setup!$B$7="",Setup!$B$8="",Setup!$B$8&lt;Setup!$B$7),"",SUMIFS(Daily!$H$7:$H$206,Daily!$C$7:$C$206,A24,Daily!$B$7:$B$206,Setup!$B$4,Daily!$I$7:$I$206,"Accepted",Daily!$P$7:$P$206,"Recorded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4" s="29" t="str">
        <x:f>IF(A24="","",WBS!I24)</x:f>
      </x:c>
      <x:c r="G24" s="29" t="str">
        <x:f>IF(A24="","",WBS!E24)</x:f>
      </x:c>
      <x:c r="H24" s="30" t="str">
        <x:f>IF(A24="","",WBS!J24)</x:f>
      </x:c>
    </x:row>
    <x:row r="25">
      <x:c r="A25" t="str">
        <x:f>IF(WBS!A25="","",WBS!A25)</x:f>
      </x:c>
      <x:c r="B25" t="str">
        <x:f>IF(A25="","",WBS!C25)</x:f>
      </x:c>
      <x:c r="C25" t="str">
        <x:f>IF(A25="","",WBS!D25)</x:f>
      </x:c>
      <x:c r="D25" s="29" t="str">
        <x:f>IF(OR(A25="",Setup!$B$7="",Setup!$B$8="",Setup!$B$8&lt;Setup!$B$7),"",SUMIFS(Daily!$G$7:$G$206,Daily!$Q$7:$Q$206,"Matched",Daily!$P$7:$P$206,"&lt;&gt;Duplicate event ID",Daily!$G$7:$G$206,"&gt;=0",Daily!$C$7:$C$206,A25,Daily!$B$7:$B$206,Setup!$B$4,Daily!$D$7:$D$206,"&gt;="&amp;Setup!$B$7,Daily!$D$7:$D$206,"&lt;="&amp;Setup!$B$8))</x:f>
      </x:c>
      <x:c r="E25" s="29" t="str">
        <x:f>IF(OR(A25="",Setup!$B$7="",Setup!$B$8="",Setup!$B$8&lt;Setup!$B$7),"",SUMIFS(Daily!$H$7:$H$206,Daily!$C$7:$C$206,A25,Daily!$B$7:$B$206,Setup!$B$4,Daily!$I$7:$I$206,"Accepted",Daily!$P$7:$P$206,"Recorded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5" s="29" t="str">
        <x:f>IF(A25="","",WBS!I25)</x:f>
      </x:c>
      <x:c r="G25" s="29" t="str">
        <x:f>IF(A25="","",WBS!E25)</x:f>
      </x:c>
      <x:c r="H25" s="30" t="str">
        <x:f>IF(A25="","",WBS!J25)</x:f>
      </x:c>
    </x:row>
    <x:row r="26">
      <x:c r="A26" t="str">
        <x:f>IF(WBS!A26="","",WBS!A26)</x:f>
      </x:c>
      <x:c r="B26" t="str">
        <x:f>IF(A26="","",WBS!C26)</x:f>
      </x:c>
      <x:c r="C26" t="str">
        <x:f>IF(A26="","",WBS!D26)</x:f>
      </x:c>
      <x:c r="D26" s="29" t="str">
        <x:f>IF(OR(A26="",Setup!$B$7="",Setup!$B$8="",Setup!$B$8&lt;Setup!$B$7),"",SUMIFS(Daily!$G$7:$G$206,Daily!$Q$7:$Q$206,"Matched",Daily!$P$7:$P$206,"&lt;&gt;Duplicate event ID",Daily!$G$7:$G$206,"&gt;=0",Daily!$C$7:$C$206,A26,Daily!$B$7:$B$206,Setup!$B$4,Daily!$D$7:$D$206,"&gt;="&amp;Setup!$B$7,Daily!$D$7:$D$206,"&lt;="&amp;Setup!$B$8))</x:f>
      </x:c>
      <x:c r="E26" s="29" t="str">
        <x:f>IF(OR(A26="",Setup!$B$7="",Setup!$B$8="",Setup!$B$8&lt;Setup!$B$7),"",SUMIFS(Daily!$H$7:$H$206,Daily!$C$7:$C$206,A26,Daily!$B$7:$B$206,Setup!$B$4,Daily!$I$7:$I$206,"Accepted",Daily!$P$7:$P$206,"Recorded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6" s="29" t="str">
        <x:f>IF(A26="","",WBS!I26)</x:f>
      </x:c>
      <x:c r="G26" s="29" t="str">
        <x:f>IF(A26="","",WBS!E26)</x:f>
      </x:c>
      <x:c r="H26" s="30" t="str">
        <x:f>IF(A26="","",WBS!J26)</x:f>
      </x:c>
    </x:row>
    <x:row r="27">
      <x:c r="A27" t="str">
        <x:f>IF(WBS!A27="","",WBS!A27)</x:f>
      </x:c>
      <x:c r="B27" t="str">
        <x:f>IF(A27="","",WBS!C27)</x:f>
      </x:c>
      <x:c r="C27" t="str">
        <x:f>IF(A27="","",WBS!D27)</x:f>
      </x:c>
      <x:c r="D27" s="29" t="str">
        <x:f>IF(OR(A27="",Setup!$B$7="",Setup!$B$8="",Setup!$B$8&lt;Setup!$B$7),"",SUMIFS(Daily!$G$7:$G$206,Daily!$Q$7:$Q$206,"Matched",Daily!$P$7:$P$206,"&lt;&gt;Duplicate event ID",Daily!$G$7:$G$206,"&gt;=0",Daily!$C$7:$C$206,A27,Daily!$B$7:$B$206,Setup!$B$4,Daily!$D$7:$D$206,"&gt;="&amp;Setup!$B$7,Daily!$D$7:$D$206,"&lt;="&amp;Setup!$B$8))</x:f>
      </x:c>
      <x:c r="E27" s="29" t="str">
        <x:f>IF(OR(A27="",Setup!$B$7="",Setup!$B$8="",Setup!$B$8&lt;Setup!$B$7),"",SUMIFS(Daily!$H$7:$H$206,Daily!$C$7:$C$206,A27,Daily!$B$7:$B$206,Setup!$B$4,Daily!$I$7:$I$206,"Accepted",Daily!$P$7:$P$206,"Recorded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7" s="29" t="str">
        <x:f>IF(A27="","",WBS!I27)</x:f>
      </x:c>
      <x:c r="G27" s="29" t="str">
        <x:f>IF(A27="","",WBS!E27)</x:f>
      </x:c>
      <x:c r="H27" s="30" t="str">
        <x:f>IF(A27="","",WBS!J27)</x:f>
      </x:c>
    </x:row>
    <x:row r="28">
      <x:c r="A28" t="str">
        <x:f>IF(WBS!A28="","",WBS!A28)</x:f>
      </x:c>
      <x:c r="B28" t="str">
        <x:f>IF(A28="","",WBS!C28)</x:f>
      </x:c>
      <x:c r="C28" t="str">
        <x:f>IF(A28="","",WBS!D28)</x:f>
      </x:c>
      <x:c r="D28" s="29" t="str">
        <x:f>IF(OR(A28="",Setup!$B$7="",Setup!$B$8="",Setup!$B$8&lt;Setup!$B$7),"",SUMIFS(Daily!$G$7:$G$206,Daily!$Q$7:$Q$206,"Matched",Daily!$P$7:$P$206,"&lt;&gt;Duplicate event ID",Daily!$G$7:$G$206,"&gt;=0",Daily!$C$7:$C$206,A28,Daily!$B$7:$B$206,Setup!$B$4,Daily!$D$7:$D$206,"&gt;="&amp;Setup!$B$7,Daily!$D$7:$D$206,"&lt;="&amp;Setup!$B$8))</x:f>
      </x:c>
      <x:c r="E28" s="29" t="str">
        <x:f>IF(OR(A28="",Setup!$B$7="",Setup!$B$8="",Setup!$B$8&lt;Setup!$B$7),"",SUMIFS(Daily!$H$7:$H$206,Daily!$C$7:$C$206,A28,Daily!$B$7:$B$206,Setup!$B$4,Daily!$I$7:$I$206,"Accepted",Daily!$P$7:$P$206,"Recorded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8" s="29" t="str">
        <x:f>IF(A28="","",WBS!I28)</x:f>
      </x:c>
      <x:c r="G28" s="29" t="str">
        <x:f>IF(A28="","",WBS!E28)</x:f>
      </x:c>
      <x:c r="H28" s="30" t="str">
        <x:f>IF(A28="","",WBS!J28)</x:f>
      </x:c>
    </x:row>
    <x:row r="29">
      <x:c r="A29" t="str">
        <x:f>IF(WBS!A29="","",WBS!A29)</x:f>
      </x:c>
      <x:c r="B29" t="str">
        <x:f>IF(A29="","",WBS!C29)</x:f>
      </x:c>
      <x:c r="C29" t="str">
        <x:f>IF(A29="","",WBS!D29)</x:f>
      </x:c>
      <x:c r="D29" s="29" t="str">
        <x:f>IF(OR(A29="",Setup!$B$7="",Setup!$B$8="",Setup!$B$8&lt;Setup!$B$7),"",SUMIFS(Daily!$G$7:$G$206,Daily!$Q$7:$Q$206,"Matched",Daily!$P$7:$P$206,"&lt;&gt;Duplicate event ID",Daily!$G$7:$G$206,"&gt;=0",Daily!$C$7:$C$206,A29,Daily!$B$7:$B$206,Setup!$B$4,Daily!$D$7:$D$206,"&gt;="&amp;Setup!$B$7,Daily!$D$7:$D$206,"&lt;="&amp;Setup!$B$8))</x:f>
      </x:c>
      <x:c r="E29" s="29" t="str">
        <x:f>IF(OR(A29="",Setup!$B$7="",Setup!$B$8="",Setup!$B$8&lt;Setup!$B$7),"",SUMIFS(Daily!$H$7:$H$206,Daily!$C$7:$C$206,A29,Daily!$B$7:$B$206,Setup!$B$4,Daily!$I$7:$I$206,"Accepted",Daily!$P$7:$P$206,"Recorded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9" s="29" t="str">
        <x:f>IF(A29="","",WBS!I29)</x:f>
      </x:c>
      <x:c r="G29" s="29" t="str">
        <x:f>IF(A29="","",WBS!E29)</x:f>
      </x:c>
      <x:c r="H29" s="30" t="str">
        <x:f>IF(A29="","",WBS!J29)</x:f>
      </x:c>
    </x:row>
    <x:row r="30">
      <x:c r="A30" t="str">
        <x:f>IF(WBS!A30="","",WBS!A30)</x:f>
      </x:c>
      <x:c r="B30" t="str">
        <x:f>IF(A30="","",WBS!C30)</x:f>
      </x:c>
      <x:c r="C30" t="str">
        <x:f>IF(A30="","",WBS!D30)</x:f>
      </x:c>
      <x:c r="D30" s="29" t="str">
        <x:f>IF(OR(A30="",Setup!$B$7="",Setup!$B$8="",Setup!$B$8&lt;Setup!$B$7),"",SUMIFS(Daily!$G$7:$G$206,Daily!$Q$7:$Q$206,"Matched",Daily!$P$7:$P$206,"&lt;&gt;Duplicate event ID",Daily!$G$7:$G$206,"&gt;=0",Daily!$C$7:$C$206,A30,Daily!$B$7:$B$206,Setup!$B$4,Daily!$D$7:$D$206,"&gt;="&amp;Setup!$B$7,Daily!$D$7:$D$206,"&lt;="&amp;Setup!$B$8))</x:f>
      </x:c>
      <x:c r="E30" s="29" t="str">
        <x:f>IF(OR(A30="",Setup!$B$7="",Setup!$B$8="",Setup!$B$8&lt;Setup!$B$7),"",SUMIFS(Daily!$H$7:$H$206,Daily!$C$7:$C$206,A30,Daily!$B$7:$B$206,Setup!$B$4,Daily!$I$7:$I$206,"Accepted",Daily!$P$7:$P$206,"Recorded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0" s="29" t="str">
        <x:f>IF(A30="","",WBS!I30)</x:f>
      </x:c>
      <x:c r="G30" s="29" t="str">
        <x:f>IF(A30="","",WBS!E30)</x:f>
      </x:c>
      <x:c r="H30" s="30" t="str">
        <x:f>IF(A30="","",WBS!J30)</x:f>
      </x:c>
    </x:row>
    <x:row r="31">
      <x:c r="A31" t="str">
        <x:f>IF(WBS!A31="","",WBS!A31)</x:f>
      </x:c>
      <x:c r="B31" t="str">
        <x:f>IF(A31="","",WBS!C31)</x:f>
      </x:c>
      <x:c r="C31" t="str">
        <x:f>IF(A31="","",WBS!D31)</x:f>
      </x:c>
      <x:c r="D31" s="29" t="str">
        <x:f>IF(OR(A31="",Setup!$B$7="",Setup!$B$8="",Setup!$B$8&lt;Setup!$B$7),"",SUMIFS(Daily!$G$7:$G$206,Daily!$Q$7:$Q$206,"Matched",Daily!$P$7:$P$206,"&lt;&gt;Duplicate event ID",Daily!$G$7:$G$206,"&gt;=0",Daily!$C$7:$C$206,A31,Daily!$B$7:$B$206,Setup!$B$4,Daily!$D$7:$D$206,"&gt;="&amp;Setup!$B$7,Daily!$D$7:$D$206,"&lt;="&amp;Setup!$B$8))</x:f>
      </x:c>
      <x:c r="E31" s="29" t="str">
        <x:f>IF(OR(A31="",Setup!$B$7="",Setup!$B$8="",Setup!$B$8&lt;Setup!$B$7),"",SUMIFS(Daily!$H$7:$H$206,Daily!$C$7:$C$206,A31,Daily!$B$7:$B$206,Setup!$B$4,Daily!$I$7:$I$206,"Accepted",Daily!$P$7:$P$206,"Recorded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1" s="29" t="str">
        <x:f>IF(A31="","",WBS!I31)</x:f>
      </x:c>
      <x:c r="G31" s="29" t="str">
        <x:f>IF(A31="","",WBS!E31)</x:f>
      </x:c>
      <x:c r="H31" s="30" t="str">
        <x:f>IF(A31="","",WBS!J31)</x:f>
      </x:c>
    </x:row>
    <x:row r="32">
      <x:c r="A32" t="str">
        <x:f>IF(WBS!A32="","",WBS!A32)</x:f>
      </x:c>
      <x:c r="B32" t="str">
        <x:f>IF(A32="","",WBS!C32)</x:f>
      </x:c>
      <x:c r="C32" t="str">
        <x:f>IF(A32="","",WBS!D32)</x:f>
      </x:c>
      <x:c r="D32" s="29" t="str">
        <x:f>IF(OR(A32="",Setup!$B$7="",Setup!$B$8="",Setup!$B$8&lt;Setup!$B$7),"",SUMIFS(Daily!$G$7:$G$206,Daily!$Q$7:$Q$206,"Matched",Daily!$P$7:$P$206,"&lt;&gt;Duplicate event ID",Daily!$G$7:$G$206,"&gt;=0",Daily!$C$7:$C$206,A32,Daily!$B$7:$B$206,Setup!$B$4,Daily!$D$7:$D$206,"&gt;="&amp;Setup!$B$7,Daily!$D$7:$D$206,"&lt;="&amp;Setup!$B$8))</x:f>
      </x:c>
      <x:c r="E32" s="29" t="str">
        <x:f>IF(OR(A32="",Setup!$B$7="",Setup!$B$8="",Setup!$B$8&lt;Setup!$B$7),"",SUMIFS(Daily!$H$7:$H$206,Daily!$C$7:$C$206,A32,Daily!$B$7:$B$206,Setup!$B$4,Daily!$I$7:$I$206,"Accepted",Daily!$P$7:$P$206,"Recorded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2" s="29" t="str">
        <x:f>IF(A32="","",WBS!I32)</x:f>
      </x:c>
      <x:c r="G32" s="29" t="str">
        <x:f>IF(A32="","",WBS!E32)</x:f>
      </x:c>
      <x:c r="H32" s="30" t="str">
        <x:f>IF(A32="","",WBS!J32)</x:f>
      </x:c>
    </x:row>
    <x:row r="33">
      <x:c r="A33" t="str">
        <x:f>IF(WBS!A33="","",WBS!A33)</x:f>
      </x:c>
      <x:c r="B33" t="str">
        <x:f>IF(A33="","",WBS!C33)</x:f>
      </x:c>
      <x:c r="C33" t="str">
        <x:f>IF(A33="","",WBS!D33)</x:f>
      </x:c>
      <x:c r="D33" s="29" t="str">
        <x:f>IF(OR(A33="",Setup!$B$7="",Setup!$B$8="",Setup!$B$8&lt;Setup!$B$7),"",SUMIFS(Daily!$G$7:$G$206,Daily!$Q$7:$Q$206,"Matched",Daily!$P$7:$P$206,"&lt;&gt;Duplicate event ID",Daily!$G$7:$G$206,"&gt;=0",Daily!$C$7:$C$206,A33,Daily!$B$7:$B$206,Setup!$B$4,Daily!$D$7:$D$206,"&gt;="&amp;Setup!$B$7,Daily!$D$7:$D$206,"&lt;="&amp;Setup!$B$8))</x:f>
      </x:c>
      <x:c r="E33" s="29" t="str">
        <x:f>IF(OR(A33="",Setup!$B$7="",Setup!$B$8="",Setup!$B$8&lt;Setup!$B$7),"",SUMIFS(Daily!$H$7:$H$206,Daily!$C$7:$C$206,A33,Daily!$B$7:$B$206,Setup!$B$4,Daily!$I$7:$I$206,"Accepted",Daily!$P$7:$P$206,"Recorded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3" s="29" t="str">
        <x:f>IF(A33="","",WBS!I33)</x:f>
      </x:c>
      <x:c r="G33" s="29" t="str">
        <x:f>IF(A33="","",WBS!E33)</x:f>
      </x:c>
      <x:c r="H33" s="30" t="str">
        <x:f>IF(A33="","",WBS!J33)</x:f>
      </x:c>
    </x:row>
    <x:row r="34">
      <x:c r="A34" t="str">
        <x:f>IF(WBS!A34="","",WBS!A34)</x:f>
      </x:c>
      <x:c r="B34" t="str">
        <x:f>IF(A34="","",WBS!C34)</x:f>
      </x:c>
      <x:c r="C34" t="str">
        <x:f>IF(A34="","",WBS!D34)</x:f>
      </x:c>
      <x:c r="D34" s="29" t="str">
        <x:f>IF(OR(A34="",Setup!$B$7="",Setup!$B$8="",Setup!$B$8&lt;Setup!$B$7),"",SUMIFS(Daily!$G$7:$G$206,Daily!$Q$7:$Q$206,"Matched",Daily!$P$7:$P$206,"&lt;&gt;Duplicate event ID",Daily!$G$7:$G$206,"&gt;=0",Daily!$C$7:$C$206,A34,Daily!$B$7:$B$206,Setup!$B$4,Daily!$D$7:$D$206,"&gt;="&amp;Setup!$B$7,Daily!$D$7:$D$206,"&lt;="&amp;Setup!$B$8))</x:f>
      </x:c>
      <x:c r="E34" s="29" t="str">
        <x:f>IF(OR(A34="",Setup!$B$7="",Setup!$B$8="",Setup!$B$8&lt;Setup!$B$7),"",SUMIFS(Daily!$H$7:$H$206,Daily!$C$7:$C$206,A34,Daily!$B$7:$B$206,Setup!$B$4,Daily!$I$7:$I$206,"Accepted",Daily!$P$7:$P$206,"Recorded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4" s="29" t="str">
        <x:f>IF(A34="","",WBS!I34)</x:f>
      </x:c>
      <x:c r="G34" s="29" t="str">
        <x:f>IF(A34="","",WBS!E34)</x:f>
      </x:c>
      <x:c r="H34" s="30" t="str">
        <x:f>IF(A34="","",WBS!J34)</x:f>
      </x:c>
    </x:row>
    <x:row r="35">
      <x:c r="A35" t="str">
        <x:f>IF(WBS!A35="","",WBS!A35)</x:f>
      </x:c>
      <x:c r="B35" t="str">
        <x:f>IF(A35="","",WBS!C35)</x:f>
      </x:c>
      <x:c r="C35" t="str">
        <x:f>IF(A35="","",WBS!D35)</x:f>
      </x:c>
      <x:c r="D35" s="29" t="str">
        <x:f>IF(OR(A35="",Setup!$B$7="",Setup!$B$8="",Setup!$B$8&lt;Setup!$B$7),"",SUMIFS(Daily!$G$7:$G$206,Daily!$Q$7:$Q$206,"Matched",Daily!$P$7:$P$206,"&lt;&gt;Duplicate event ID",Daily!$G$7:$G$206,"&gt;=0",Daily!$C$7:$C$206,A35,Daily!$B$7:$B$206,Setup!$B$4,Daily!$D$7:$D$206,"&gt;="&amp;Setup!$B$7,Daily!$D$7:$D$206,"&lt;="&amp;Setup!$B$8))</x:f>
      </x:c>
      <x:c r="E35" s="29" t="str">
        <x:f>IF(OR(A35="",Setup!$B$7="",Setup!$B$8="",Setup!$B$8&lt;Setup!$B$7),"",SUMIFS(Daily!$H$7:$H$206,Daily!$C$7:$C$206,A35,Daily!$B$7:$B$206,Setup!$B$4,Daily!$I$7:$I$206,"Accepted",Daily!$P$7:$P$206,"Recorded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5" s="29" t="str">
        <x:f>IF(A35="","",WBS!I35)</x:f>
      </x:c>
      <x:c r="G35" s="29" t="str">
        <x:f>IF(A35="","",WBS!E35)</x:f>
      </x:c>
      <x:c r="H35" s="30" t="str">
        <x:f>IF(A35="","",WBS!J35)</x:f>
      </x:c>
    </x:row>
    <x:row r="36">
      <x:c r="A36" t="str">
        <x:f>IF(WBS!A36="","",WBS!A36)</x:f>
      </x:c>
      <x:c r="B36" t="str">
        <x:f>IF(A36="","",WBS!C36)</x:f>
      </x:c>
      <x:c r="C36" t="str">
        <x:f>IF(A36="","",WBS!D36)</x:f>
      </x:c>
      <x:c r="D36" s="29" t="str">
        <x:f>IF(OR(A36="",Setup!$B$7="",Setup!$B$8="",Setup!$B$8&lt;Setup!$B$7),"",SUMIFS(Daily!$G$7:$G$206,Daily!$Q$7:$Q$206,"Matched",Daily!$P$7:$P$206,"&lt;&gt;Duplicate event ID",Daily!$G$7:$G$206,"&gt;=0",Daily!$C$7:$C$206,A36,Daily!$B$7:$B$206,Setup!$B$4,Daily!$D$7:$D$206,"&gt;="&amp;Setup!$B$7,Daily!$D$7:$D$206,"&lt;="&amp;Setup!$B$8))</x:f>
      </x:c>
      <x:c r="E36" s="29" t="str">
        <x:f>IF(OR(A36="",Setup!$B$7="",Setup!$B$8="",Setup!$B$8&lt;Setup!$B$7),"",SUMIFS(Daily!$H$7:$H$206,Daily!$C$7:$C$206,A36,Daily!$B$7:$B$206,Setup!$B$4,Daily!$I$7:$I$206,"Accepted",Daily!$P$7:$P$206,"Recorded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6" s="29" t="str">
        <x:f>IF(A36="","",WBS!I36)</x:f>
      </x:c>
      <x:c r="G36" s="29" t="str">
        <x:f>IF(A36="","",WBS!E36)</x:f>
      </x:c>
      <x:c r="H36" s="30" t="str">
        <x:f>IF(A36="","",WBS!J36)</x:f>
      </x:c>
    </x:row>
    <x:row r="37">
      <x:c r="A37" t="str">
        <x:f>IF(WBS!A37="","",WBS!A37)</x:f>
      </x:c>
      <x:c r="B37" t="str">
        <x:f>IF(A37="","",WBS!C37)</x:f>
      </x:c>
      <x:c r="C37" t="str">
        <x:f>IF(A37="","",WBS!D37)</x:f>
      </x:c>
      <x:c r="D37" s="29" t="str">
        <x:f>IF(OR(A37="",Setup!$B$7="",Setup!$B$8="",Setup!$B$8&lt;Setup!$B$7),"",SUMIFS(Daily!$G$7:$G$206,Daily!$Q$7:$Q$206,"Matched",Daily!$P$7:$P$206,"&lt;&gt;Duplicate event ID",Daily!$G$7:$G$206,"&gt;=0",Daily!$C$7:$C$206,A37,Daily!$B$7:$B$206,Setup!$B$4,Daily!$D$7:$D$206,"&gt;="&amp;Setup!$B$7,Daily!$D$7:$D$206,"&lt;="&amp;Setup!$B$8))</x:f>
      </x:c>
      <x:c r="E37" s="29" t="str">
        <x:f>IF(OR(A37="",Setup!$B$7="",Setup!$B$8="",Setup!$B$8&lt;Setup!$B$7),"",SUMIFS(Daily!$H$7:$H$206,Daily!$C$7:$C$206,A37,Daily!$B$7:$B$206,Setup!$B$4,Daily!$I$7:$I$206,"Accepted",Daily!$P$7:$P$206,"Recorded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7" s="29" t="str">
        <x:f>IF(A37="","",WBS!I37)</x:f>
      </x:c>
      <x:c r="G37" s="29" t="str">
        <x:f>IF(A37="","",WBS!E37)</x:f>
      </x:c>
      <x:c r="H37" s="30" t="str">
        <x:f>IF(A37="","",WBS!J37)</x:f>
      </x:c>
    </x:row>
    <x:row r="38">
      <x:c r="A38" t="str">
        <x:f>IF(WBS!A38="","",WBS!A38)</x:f>
      </x:c>
      <x:c r="B38" t="str">
        <x:f>IF(A38="","",WBS!C38)</x:f>
      </x:c>
      <x:c r="C38" t="str">
        <x:f>IF(A38="","",WBS!D38)</x:f>
      </x:c>
      <x:c r="D38" s="29" t="str">
        <x:f>IF(OR(A38="",Setup!$B$7="",Setup!$B$8="",Setup!$B$8&lt;Setup!$B$7),"",SUMIFS(Daily!$G$7:$G$206,Daily!$Q$7:$Q$206,"Matched",Daily!$P$7:$P$206,"&lt;&gt;Duplicate event ID",Daily!$G$7:$G$206,"&gt;=0",Daily!$C$7:$C$206,A38,Daily!$B$7:$B$206,Setup!$B$4,Daily!$D$7:$D$206,"&gt;="&amp;Setup!$B$7,Daily!$D$7:$D$206,"&lt;="&amp;Setup!$B$8))</x:f>
      </x:c>
      <x:c r="E38" s="29" t="str">
        <x:f>IF(OR(A38="",Setup!$B$7="",Setup!$B$8="",Setup!$B$8&lt;Setup!$B$7),"",SUMIFS(Daily!$H$7:$H$206,Daily!$C$7:$C$206,A38,Daily!$B$7:$B$206,Setup!$B$4,Daily!$I$7:$I$206,"Accepted",Daily!$P$7:$P$206,"Recorded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8" s="29" t="str">
        <x:f>IF(A38="","",WBS!I38)</x:f>
      </x:c>
      <x:c r="G38" s="29" t="str">
        <x:f>IF(A38="","",WBS!E38)</x:f>
      </x:c>
      <x:c r="H38" s="30" t="str">
        <x:f>IF(A38="","",WBS!J38)</x:f>
      </x:c>
    </x:row>
    <x:row r="39">
      <x:c r="A39" t="str">
        <x:f>IF(WBS!A39="","",WBS!A39)</x:f>
      </x:c>
      <x:c r="B39" t="str">
        <x:f>IF(A39="","",WBS!C39)</x:f>
      </x:c>
      <x:c r="C39" t="str">
        <x:f>IF(A39="","",WBS!D39)</x:f>
      </x:c>
      <x:c r="D39" s="29" t="str">
        <x:f>IF(OR(A39="",Setup!$B$7="",Setup!$B$8="",Setup!$B$8&lt;Setup!$B$7),"",SUMIFS(Daily!$G$7:$G$206,Daily!$Q$7:$Q$206,"Matched",Daily!$P$7:$P$206,"&lt;&gt;Duplicate event ID",Daily!$G$7:$G$206,"&gt;=0",Daily!$C$7:$C$206,A39,Daily!$B$7:$B$206,Setup!$B$4,Daily!$D$7:$D$206,"&gt;="&amp;Setup!$B$7,Daily!$D$7:$D$206,"&lt;="&amp;Setup!$B$8))</x:f>
      </x:c>
      <x:c r="E39" s="29" t="str">
        <x:f>IF(OR(A39="",Setup!$B$7="",Setup!$B$8="",Setup!$B$8&lt;Setup!$B$7),"",SUMIFS(Daily!$H$7:$H$206,Daily!$C$7:$C$206,A39,Daily!$B$7:$B$206,Setup!$B$4,Daily!$I$7:$I$206,"Accepted",Daily!$P$7:$P$206,"Recorded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9" s="29" t="str">
        <x:f>IF(A39="","",WBS!I39)</x:f>
      </x:c>
      <x:c r="G39" s="29" t="str">
        <x:f>IF(A39="","",WBS!E39)</x:f>
      </x:c>
      <x:c r="H39" s="30" t="str">
        <x:f>IF(A39="","",WBS!J39)</x:f>
      </x:c>
    </x:row>
    <x:row r="40">
      <x:c r="A40" t="str">
        <x:f>IF(WBS!A40="","",WBS!A40)</x:f>
      </x:c>
      <x:c r="B40" t="str">
        <x:f>IF(A40="","",WBS!C40)</x:f>
      </x:c>
      <x:c r="C40" t="str">
        <x:f>IF(A40="","",WBS!D40)</x:f>
      </x:c>
      <x:c r="D40" s="29" t="str">
        <x:f>IF(OR(A40="",Setup!$B$7="",Setup!$B$8="",Setup!$B$8&lt;Setup!$B$7),"",SUMIFS(Daily!$G$7:$G$206,Daily!$Q$7:$Q$206,"Matched",Daily!$P$7:$P$206,"&lt;&gt;Duplicate event ID",Daily!$G$7:$G$206,"&gt;=0",Daily!$C$7:$C$206,A40,Daily!$B$7:$B$206,Setup!$B$4,Daily!$D$7:$D$206,"&gt;="&amp;Setup!$B$7,Daily!$D$7:$D$206,"&lt;="&amp;Setup!$B$8))</x:f>
      </x:c>
      <x:c r="E40" s="29" t="str">
        <x:f>IF(OR(A40="",Setup!$B$7="",Setup!$B$8="",Setup!$B$8&lt;Setup!$B$7),"",SUMIFS(Daily!$H$7:$H$206,Daily!$C$7:$C$206,A40,Daily!$B$7:$B$206,Setup!$B$4,Daily!$I$7:$I$206,"Accepted",Daily!$P$7:$P$206,"Recorded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0" s="29" t="str">
        <x:f>IF(A40="","",WBS!I40)</x:f>
      </x:c>
      <x:c r="G40" s="29" t="str">
        <x:f>IF(A40="","",WBS!E40)</x:f>
      </x:c>
      <x:c r="H40" s="30" t="str">
        <x:f>IF(A40="","",WBS!J40)</x:f>
      </x:c>
    </x:row>
    <x:row r="41">
      <x:c r="A41" t="str">
        <x:f>IF(WBS!A41="","",WBS!A41)</x:f>
      </x:c>
      <x:c r="B41" t="str">
        <x:f>IF(A41="","",WBS!C41)</x:f>
      </x:c>
      <x:c r="C41" t="str">
        <x:f>IF(A41="","",WBS!D41)</x:f>
      </x:c>
      <x:c r="D41" s="29" t="str">
        <x:f>IF(OR(A41="",Setup!$B$7="",Setup!$B$8="",Setup!$B$8&lt;Setup!$B$7),"",SUMIFS(Daily!$G$7:$G$206,Daily!$Q$7:$Q$206,"Matched",Daily!$P$7:$P$206,"&lt;&gt;Duplicate event ID",Daily!$G$7:$G$206,"&gt;=0",Daily!$C$7:$C$206,A41,Daily!$B$7:$B$206,Setup!$B$4,Daily!$D$7:$D$206,"&gt;="&amp;Setup!$B$7,Daily!$D$7:$D$206,"&lt;="&amp;Setup!$B$8))</x:f>
      </x:c>
      <x:c r="E41" s="29" t="str">
        <x:f>IF(OR(A41="",Setup!$B$7="",Setup!$B$8="",Setup!$B$8&lt;Setup!$B$7),"",SUMIFS(Daily!$H$7:$H$206,Daily!$C$7:$C$206,A41,Daily!$B$7:$B$206,Setup!$B$4,Daily!$I$7:$I$206,"Accepted",Daily!$P$7:$P$206,"Recorded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1" s="29" t="str">
        <x:f>IF(A41="","",WBS!I41)</x:f>
      </x:c>
      <x:c r="G41" s="29" t="str">
        <x:f>IF(A41="","",WBS!E41)</x:f>
      </x:c>
      <x:c r="H41" s="30" t="str">
        <x:f>IF(A41="","",WBS!J41)</x:f>
      </x:c>
    </x:row>
    <x:row r="42">
      <x:c r="A42" t="str">
        <x:f>IF(WBS!A42="","",WBS!A42)</x:f>
      </x:c>
      <x:c r="B42" t="str">
        <x:f>IF(A42="","",WBS!C42)</x:f>
      </x:c>
      <x:c r="C42" t="str">
        <x:f>IF(A42="","",WBS!D42)</x:f>
      </x:c>
      <x:c r="D42" s="29" t="str">
        <x:f>IF(OR(A42="",Setup!$B$7="",Setup!$B$8="",Setup!$B$8&lt;Setup!$B$7),"",SUMIFS(Daily!$G$7:$G$206,Daily!$Q$7:$Q$206,"Matched",Daily!$P$7:$P$206,"&lt;&gt;Duplicate event ID",Daily!$G$7:$G$206,"&gt;=0",Daily!$C$7:$C$206,A42,Daily!$B$7:$B$206,Setup!$B$4,Daily!$D$7:$D$206,"&gt;="&amp;Setup!$B$7,Daily!$D$7:$D$206,"&lt;="&amp;Setup!$B$8))</x:f>
      </x:c>
      <x:c r="E42" s="29" t="str">
        <x:f>IF(OR(A42="",Setup!$B$7="",Setup!$B$8="",Setup!$B$8&lt;Setup!$B$7),"",SUMIFS(Daily!$H$7:$H$206,Daily!$C$7:$C$206,A42,Daily!$B$7:$B$206,Setup!$B$4,Daily!$I$7:$I$206,"Accepted",Daily!$P$7:$P$206,"Recorded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2" s="29" t="str">
        <x:f>IF(A42="","",WBS!I42)</x:f>
      </x:c>
      <x:c r="G42" s="29" t="str">
        <x:f>IF(A42="","",WBS!E42)</x:f>
      </x:c>
      <x:c r="H42" s="30" t="str">
        <x:f>IF(A42="","",WBS!J42)</x:f>
      </x:c>
    </x:row>
    <x:row r="43">
      <x:c r="A43" t="str">
        <x:f>IF(WBS!A43="","",WBS!A43)</x:f>
      </x:c>
      <x:c r="B43" t="str">
        <x:f>IF(A43="","",WBS!C43)</x:f>
      </x:c>
      <x:c r="C43" t="str">
        <x:f>IF(A43="","",WBS!D43)</x:f>
      </x:c>
      <x:c r="D43" s="29" t="str">
        <x:f>IF(OR(A43="",Setup!$B$7="",Setup!$B$8="",Setup!$B$8&lt;Setup!$B$7),"",SUMIFS(Daily!$G$7:$G$206,Daily!$Q$7:$Q$206,"Matched",Daily!$P$7:$P$206,"&lt;&gt;Duplicate event ID",Daily!$G$7:$G$206,"&gt;=0",Daily!$C$7:$C$206,A43,Daily!$B$7:$B$206,Setup!$B$4,Daily!$D$7:$D$206,"&gt;="&amp;Setup!$B$7,Daily!$D$7:$D$206,"&lt;="&amp;Setup!$B$8))</x:f>
      </x:c>
      <x:c r="E43" s="29" t="str">
        <x:f>IF(OR(A43="",Setup!$B$7="",Setup!$B$8="",Setup!$B$8&lt;Setup!$B$7),"",SUMIFS(Daily!$H$7:$H$206,Daily!$C$7:$C$206,A43,Daily!$B$7:$B$206,Setup!$B$4,Daily!$I$7:$I$206,"Accepted",Daily!$P$7:$P$206,"Recorded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3" s="29" t="str">
        <x:f>IF(A43="","",WBS!I43)</x:f>
      </x:c>
      <x:c r="G43" s="29" t="str">
        <x:f>IF(A43="","",WBS!E43)</x:f>
      </x:c>
      <x:c r="H43" s="30" t="str">
        <x:f>IF(A43="","",WBS!J43)</x:f>
      </x:c>
    </x:row>
    <x:row r="44">
      <x:c r="A44" t="str">
        <x:f>IF(WBS!A44="","",WBS!A44)</x:f>
      </x:c>
      <x:c r="B44" t="str">
        <x:f>IF(A44="","",WBS!C44)</x:f>
      </x:c>
      <x:c r="C44" t="str">
        <x:f>IF(A44="","",WBS!D44)</x:f>
      </x:c>
      <x:c r="D44" s="29" t="str">
        <x:f>IF(OR(A44="",Setup!$B$7="",Setup!$B$8="",Setup!$B$8&lt;Setup!$B$7),"",SUMIFS(Daily!$G$7:$G$206,Daily!$Q$7:$Q$206,"Matched",Daily!$P$7:$P$206,"&lt;&gt;Duplicate event ID",Daily!$G$7:$G$206,"&gt;=0",Daily!$C$7:$C$206,A44,Daily!$B$7:$B$206,Setup!$B$4,Daily!$D$7:$D$206,"&gt;="&amp;Setup!$B$7,Daily!$D$7:$D$206,"&lt;="&amp;Setup!$B$8))</x:f>
      </x:c>
      <x:c r="E44" s="29" t="str">
        <x:f>IF(OR(A44="",Setup!$B$7="",Setup!$B$8="",Setup!$B$8&lt;Setup!$B$7),"",SUMIFS(Daily!$H$7:$H$206,Daily!$C$7:$C$206,A44,Daily!$B$7:$B$206,Setup!$B$4,Daily!$I$7:$I$206,"Accepted",Daily!$P$7:$P$206,"Recorded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4" s="29" t="str">
        <x:f>IF(A44="","",WBS!I44)</x:f>
      </x:c>
      <x:c r="G44" s="29" t="str">
        <x:f>IF(A44="","",WBS!E44)</x:f>
      </x:c>
      <x:c r="H44" s="30" t="str">
        <x:f>IF(A44="","",WBS!J44)</x:f>
      </x:c>
    </x:row>
    <x:row r="45">
      <x:c r="A45" t="str">
        <x:f>IF(WBS!A45="","",WBS!A45)</x:f>
      </x:c>
      <x:c r="B45" t="str">
        <x:f>IF(A45="","",WBS!C45)</x:f>
      </x:c>
      <x:c r="C45" t="str">
        <x:f>IF(A45="","",WBS!D45)</x:f>
      </x:c>
      <x:c r="D45" s="29" t="str">
        <x:f>IF(OR(A45="",Setup!$B$7="",Setup!$B$8="",Setup!$B$8&lt;Setup!$B$7),"",SUMIFS(Daily!$G$7:$G$206,Daily!$Q$7:$Q$206,"Matched",Daily!$P$7:$P$206,"&lt;&gt;Duplicate event ID",Daily!$G$7:$G$206,"&gt;=0",Daily!$C$7:$C$206,A45,Daily!$B$7:$B$206,Setup!$B$4,Daily!$D$7:$D$206,"&gt;="&amp;Setup!$B$7,Daily!$D$7:$D$206,"&lt;="&amp;Setup!$B$8))</x:f>
      </x:c>
      <x:c r="E45" s="29" t="str">
        <x:f>IF(OR(A45="",Setup!$B$7="",Setup!$B$8="",Setup!$B$8&lt;Setup!$B$7),"",SUMIFS(Daily!$H$7:$H$206,Daily!$C$7:$C$206,A45,Daily!$B$7:$B$206,Setup!$B$4,Daily!$I$7:$I$206,"Accepted",Daily!$P$7:$P$206,"Recorded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5" s="29" t="str">
        <x:f>IF(A45="","",WBS!I45)</x:f>
      </x:c>
      <x:c r="G45" s="29" t="str">
        <x:f>IF(A45="","",WBS!E45)</x:f>
      </x:c>
      <x:c r="H45" s="30" t="str">
        <x:f>IF(A45="","",WBS!J45)</x:f>
      </x:c>
    </x:row>
    <x:row r="46">
      <x:c r="A46" t="str">
        <x:f>IF(WBS!A46="","",WBS!A46)</x:f>
      </x:c>
      <x:c r="B46" t="str">
        <x:f>IF(A46="","",WBS!C46)</x:f>
      </x:c>
      <x:c r="C46" t="str">
        <x:f>IF(A46="","",WBS!D46)</x:f>
      </x:c>
      <x:c r="D46" s="29" t="str">
        <x:f>IF(OR(A46="",Setup!$B$7="",Setup!$B$8="",Setup!$B$8&lt;Setup!$B$7),"",SUMIFS(Daily!$G$7:$G$206,Daily!$Q$7:$Q$206,"Matched",Daily!$P$7:$P$206,"&lt;&gt;Duplicate event ID",Daily!$G$7:$G$206,"&gt;=0",Daily!$C$7:$C$206,A46,Daily!$B$7:$B$206,Setup!$B$4,Daily!$D$7:$D$206,"&gt;="&amp;Setup!$B$7,Daily!$D$7:$D$206,"&lt;="&amp;Setup!$B$8))</x:f>
      </x:c>
      <x:c r="E46" s="29" t="str">
        <x:f>IF(OR(A46="",Setup!$B$7="",Setup!$B$8="",Setup!$B$8&lt;Setup!$B$7),"",SUMIFS(Daily!$H$7:$H$206,Daily!$C$7:$C$206,A46,Daily!$B$7:$B$206,Setup!$B$4,Daily!$I$7:$I$206,"Accepted",Daily!$P$7:$P$206,"Recorded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6" s="29" t="str">
        <x:f>IF(A46="","",WBS!I46)</x:f>
      </x:c>
      <x:c r="G46" s="29" t="str">
        <x:f>IF(A46="","",WBS!E46)</x:f>
      </x:c>
      <x:c r="H46" s="30" t="str">
        <x:f>IF(A46="","",WBS!J46)</x:f>
      </x:c>
    </x:row>
    <x:row r="47">
      <x:c r="A47" t="str">
        <x:f>IF(WBS!A47="","",WBS!A47)</x:f>
      </x:c>
      <x:c r="B47" t="str">
        <x:f>IF(A47="","",WBS!C47)</x:f>
      </x:c>
      <x:c r="C47" t="str">
        <x:f>IF(A47="","",WBS!D47)</x:f>
      </x:c>
      <x:c r="D47" s="29" t="str">
        <x:f>IF(OR(A47="",Setup!$B$7="",Setup!$B$8="",Setup!$B$8&lt;Setup!$B$7),"",SUMIFS(Daily!$G$7:$G$206,Daily!$Q$7:$Q$206,"Matched",Daily!$P$7:$P$206,"&lt;&gt;Duplicate event ID",Daily!$G$7:$G$206,"&gt;=0",Daily!$C$7:$C$206,A47,Daily!$B$7:$B$206,Setup!$B$4,Daily!$D$7:$D$206,"&gt;="&amp;Setup!$B$7,Daily!$D$7:$D$206,"&lt;="&amp;Setup!$B$8))</x:f>
      </x:c>
      <x:c r="E47" s="29" t="str">
        <x:f>IF(OR(A47="",Setup!$B$7="",Setup!$B$8="",Setup!$B$8&lt;Setup!$B$7),"",SUMIFS(Daily!$H$7:$H$206,Daily!$C$7:$C$206,A47,Daily!$B$7:$B$206,Setup!$B$4,Daily!$I$7:$I$206,"Accepted",Daily!$P$7:$P$206,"Recorded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7" s="29" t="str">
        <x:f>IF(A47="","",WBS!I47)</x:f>
      </x:c>
      <x:c r="G47" s="29" t="str">
        <x:f>IF(A47="","",WBS!E47)</x:f>
      </x:c>
      <x:c r="H47" s="30" t="str">
        <x:f>IF(A47="","",WBS!J47)</x:f>
      </x:c>
    </x:row>
    <x:row r="48">
      <x:c r="A48" t="str">
        <x:f>IF(WBS!A48="","",WBS!A48)</x:f>
      </x:c>
      <x:c r="B48" t="str">
        <x:f>IF(A48="","",WBS!C48)</x:f>
      </x:c>
      <x:c r="C48" t="str">
        <x:f>IF(A48="","",WBS!D48)</x:f>
      </x:c>
      <x:c r="D48" s="29" t="str">
        <x:f>IF(OR(A48="",Setup!$B$7="",Setup!$B$8="",Setup!$B$8&lt;Setup!$B$7),"",SUMIFS(Daily!$G$7:$G$206,Daily!$Q$7:$Q$206,"Matched",Daily!$P$7:$P$206,"&lt;&gt;Duplicate event ID",Daily!$G$7:$G$206,"&gt;=0",Daily!$C$7:$C$206,A48,Daily!$B$7:$B$206,Setup!$B$4,Daily!$D$7:$D$206,"&gt;="&amp;Setup!$B$7,Daily!$D$7:$D$206,"&lt;="&amp;Setup!$B$8))</x:f>
      </x:c>
      <x:c r="E48" s="29" t="str">
        <x:f>IF(OR(A48="",Setup!$B$7="",Setup!$B$8="",Setup!$B$8&lt;Setup!$B$7),"",SUMIFS(Daily!$H$7:$H$206,Daily!$C$7:$C$206,A48,Daily!$B$7:$B$206,Setup!$B$4,Daily!$I$7:$I$206,"Accepted",Daily!$P$7:$P$206,"Recorded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8" s="29" t="str">
        <x:f>IF(A48="","",WBS!I48)</x:f>
      </x:c>
      <x:c r="G48" s="29" t="str">
        <x:f>IF(A48="","",WBS!E48)</x:f>
      </x:c>
      <x:c r="H48" s="30" t="str">
        <x:f>IF(A48="","",WBS!J48)</x:f>
      </x:c>
    </x:row>
    <x:row r="49">
      <x:c r="A49" t="str">
        <x:f>IF(WBS!A49="","",WBS!A49)</x:f>
      </x:c>
      <x:c r="B49" t="str">
        <x:f>IF(A49="","",WBS!C49)</x:f>
      </x:c>
      <x:c r="C49" t="str">
        <x:f>IF(A49="","",WBS!D49)</x:f>
      </x:c>
      <x:c r="D49" s="29" t="str">
        <x:f>IF(OR(A49="",Setup!$B$7="",Setup!$B$8="",Setup!$B$8&lt;Setup!$B$7),"",SUMIFS(Daily!$G$7:$G$206,Daily!$Q$7:$Q$206,"Matched",Daily!$P$7:$P$206,"&lt;&gt;Duplicate event ID",Daily!$G$7:$G$206,"&gt;=0",Daily!$C$7:$C$206,A49,Daily!$B$7:$B$206,Setup!$B$4,Daily!$D$7:$D$206,"&gt;="&amp;Setup!$B$7,Daily!$D$7:$D$206,"&lt;="&amp;Setup!$B$8))</x:f>
      </x:c>
      <x:c r="E49" s="29" t="str">
        <x:f>IF(OR(A49="",Setup!$B$7="",Setup!$B$8="",Setup!$B$8&lt;Setup!$B$7),"",SUMIFS(Daily!$H$7:$H$206,Daily!$C$7:$C$206,A49,Daily!$B$7:$B$206,Setup!$B$4,Daily!$I$7:$I$206,"Accepted",Daily!$P$7:$P$206,"Recorded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9" s="29" t="str">
        <x:f>IF(A49="","",WBS!I49)</x:f>
      </x:c>
      <x:c r="G49" s="29" t="str">
        <x:f>IF(A49="","",WBS!E49)</x:f>
      </x:c>
      <x:c r="H49" s="30" t="str">
        <x:f>IF(A49="","",WBS!J49)</x:f>
      </x:c>
    </x:row>
    <x:row r="50">
      <x:c r="A50" t="str">
        <x:f>IF(WBS!A50="","",WBS!A50)</x:f>
      </x:c>
      <x:c r="B50" t="str">
        <x:f>IF(A50="","",WBS!C50)</x:f>
      </x:c>
      <x:c r="C50" t="str">
        <x:f>IF(A50="","",WBS!D50)</x:f>
      </x:c>
      <x:c r="D50" s="29" t="str">
        <x:f>IF(OR(A50="",Setup!$B$7="",Setup!$B$8="",Setup!$B$8&lt;Setup!$B$7),"",SUMIFS(Daily!$G$7:$G$206,Daily!$Q$7:$Q$206,"Matched",Daily!$P$7:$P$206,"&lt;&gt;Duplicate event ID",Daily!$G$7:$G$206,"&gt;=0",Daily!$C$7:$C$206,A50,Daily!$B$7:$B$206,Setup!$B$4,Daily!$D$7:$D$206,"&gt;="&amp;Setup!$B$7,Daily!$D$7:$D$206,"&lt;="&amp;Setup!$B$8))</x:f>
      </x:c>
      <x:c r="E50" s="29" t="str">
        <x:f>IF(OR(A50="",Setup!$B$7="",Setup!$B$8="",Setup!$B$8&lt;Setup!$B$7),"",SUMIFS(Daily!$H$7:$H$206,Daily!$C$7:$C$206,A50,Daily!$B$7:$B$206,Setup!$B$4,Daily!$I$7:$I$206,"Accepted",Daily!$P$7:$P$206,"Recorded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0" s="29" t="str">
        <x:f>IF(A50="","",WBS!I50)</x:f>
      </x:c>
      <x:c r="G50" s="29" t="str">
        <x:f>IF(A50="","",WBS!E50)</x:f>
      </x:c>
      <x:c r="H50" s="30" t="str">
        <x:f>IF(A50="","",WBS!J50)</x:f>
      </x:c>
    </x:row>
    <x:row r="51">
      <x:c r="A51" t="str">
        <x:f>IF(WBS!A51="","",WBS!A51)</x:f>
      </x:c>
      <x:c r="B51" t="str">
        <x:f>IF(A51="","",WBS!C51)</x:f>
      </x:c>
      <x:c r="C51" t="str">
        <x:f>IF(A51="","",WBS!D51)</x:f>
      </x:c>
      <x:c r="D51" s="29" t="str">
        <x:f>IF(OR(A51="",Setup!$B$7="",Setup!$B$8="",Setup!$B$8&lt;Setup!$B$7),"",SUMIFS(Daily!$G$7:$G$206,Daily!$Q$7:$Q$206,"Matched",Daily!$P$7:$P$206,"&lt;&gt;Duplicate event ID",Daily!$G$7:$G$206,"&gt;=0",Daily!$C$7:$C$206,A51,Daily!$B$7:$B$206,Setup!$B$4,Daily!$D$7:$D$206,"&gt;="&amp;Setup!$B$7,Daily!$D$7:$D$206,"&lt;="&amp;Setup!$B$8))</x:f>
      </x:c>
      <x:c r="E51" s="29" t="str">
        <x:f>IF(OR(A51="",Setup!$B$7="",Setup!$B$8="",Setup!$B$8&lt;Setup!$B$7),"",SUMIFS(Daily!$H$7:$H$206,Daily!$C$7:$C$206,A51,Daily!$B$7:$B$206,Setup!$B$4,Daily!$I$7:$I$206,"Accepted",Daily!$P$7:$P$206,"Recorded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1" s="29" t="str">
        <x:f>IF(A51="","",WBS!I51)</x:f>
      </x:c>
      <x:c r="G51" s="29" t="str">
        <x:f>IF(A51="","",WBS!E51)</x:f>
      </x:c>
      <x:c r="H51" s="30" t="str">
        <x:f>IF(A51="","",WBS!J51)</x:f>
      </x:c>
    </x:row>
    <x:row r="52">
      <x:c r="A52" t="str">
        <x:f>IF(WBS!A52="","",WBS!A52)</x:f>
      </x:c>
      <x:c r="B52" t="str">
        <x:f>IF(A52="","",WBS!C52)</x:f>
      </x:c>
      <x:c r="C52" t="str">
        <x:f>IF(A52="","",WBS!D52)</x:f>
      </x:c>
      <x:c r="D52" s="29" t="str">
        <x:f>IF(OR(A52="",Setup!$B$7="",Setup!$B$8="",Setup!$B$8&lt;Setup!$B$7),"",SUMIFS(Daily!$G$7:$G$206,Daily!$Q$7:$Q$206,"Matched",Daily!$P$7:$P$206,"&lt;&gt;Duplicate event ID",Daily!$G$7:$G$206,"&gt;=0",Daily!$C$7:$C$206,A52,Daily!$B$7:$B$206,Setup!$B$4,Daily!$D$7:$D$206,"&gt;="&amp;Setup!$B$7,Daily!$D$7:$D$206,"&lt;="&amp;Setup!$B$8))</x:f>
      </x:c>
      <x:c r="E52" s="29" t="str">
        <x:f>IF(OR(A52="",Setup!$B$7="",Setup!$B$8="",Setup!$B$8&lt;Setup!$B$7),"",SUMIFS(Daily!$H$7:$H$206,Daily!$C$7:$C$206,A52,Daily!$B$7:$B$206,Setup!$B$4,Daily!$I$7:$I$206,"Accepted",Daily!$P$7:$P$206,"Recorded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2" s="29" t="str">
        <x:f>IF(A52="","",WBS!I52)</x:f>
      </x:c>
      <x:c r="G52" s="29" t="str">
        <x:f>IF(A52="","",WBS!E52)</x:f>
      </x:c>
      <x:c r="H52" s="30" t="str">
        <x:f>IF(A52="","",WBS!J52)</x:f>
      </x:c>
    </x:row>
    <x:row r="53">
      <x:c r="A53" t="str">
        <x:f>IF(WBS!A53="","",WBS!A53)</x:f>
      </x:c>
      <x:c r="B53" t="str">
        <x:f>IF(A53="","",WBS!C53)</x:f>
      </x:c>
      <x:c r="C53" t="str">
        <x:f>IF(A53="","",WBS!D53)</x:f>
      </x:c>
      <x:c r="D53" s="29" t="str">
        <x:f>IF(OR(A53="",Setup!$B$7="",Setup!$B$8="",Setup!$B$8&lt;Setup!$B$7),"",SUMIFS(Daily!$G$7:$G$206,Daily!$Q$7:$Q$206,"Matched",Daily!$P$7:$P$206,"&lt;&gt;Duplicate event ID",Daily!$G$7:$G$206,"&gt;=0",Daily!$C$7:$C$206,A53,Daily!$B$7:$B$206,Setup!$B$4,Daily!$D$7:$D$206,"&gt;="&amp;Setup!$B$7,Daily!$D$7:$D$206,"&lt;="&amp;Setup!$B$8))</x:f>
      </x:c>
      <x:c r="E53" s="29" t="str">
        <x:f>IF(OR(A53="",Setup!$B$7="",Setup!$B$8="",Setup!$B$8&lt;Setup!$B$7),"",SUMIFS(Daily!$H$7:$H$206,Daily!$C$7:$C$206,A53,Daily!$B$7:$B$206,Setup!$B$4,Daily!$I$7:$I$206,"Accepted",Daily!$P$7:$P$206,"Recorded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3" s="29" t="str">
        <x:f>IF(A53="","",WBS!I53)</x:f>
      </x:c>
      <x:c r="G53" s="29" t="str">
        <x:f>IF(A53="","",WBS!E53)</x:f>
      </x:c>
      <x:c r="H53" s="30" t="str">
        <x:f>IF(A53="","",WBS!J53)</x:f>
      </x:c>
    </x:row>
    <x:row r="54">
      <x:c r="A54" t="str">
        <x:f>IF(WBS!A54="","",WBS!A54)</x:f>
      </x:c>
      <x:c r="B54" t="str">
        <x:f>IF(A54="","",WBS!C54)</x:f>
      </x:c>
      <x:c r="C54" t="str">
        <x:f>IF(A54="","",WBS!D54)</x:f>
      </x:c>
      <x:c r="D54" s="29" t="str">
        <x:f>IF(OR(A54="",Setup!$B$7="",Setup!$B$8="",Setup!$B$8&lt;Setup!$B$7),"",SUMIFS(Daily!$G$7:$G$206,Daily!$Q$7:$Q$206,"Matched",Daily!$P$7:$P$206,"&lt;&gt;Duplicate event ID",Daily!$G$7:$G$206,"&gt;=0",Daily!$C$7:$C$206,A54,Daily!$B$7:$B$206,Setup!$B$4,Daily!$D$7:$D$206,"&gt;="&amp;Setup!$B$7,Daily!$D$7:$D$206,"&lt;="&amp;Setup!$B$8))</x:f>
      </x:c>
      <x:c r="E54" s="29" t="str">
        <x:f>IF(OR(A54="",Setup!$B$7="",Setup!$B$8="",Setup!$B$8&lt;Setup!$B$7),"",SUMIFS(Daily!$H$7:$H$206,Daily!$C$7:$C$206,A54,Daily!$B$7:$B$206,Setup!$B$4,Daily!$I$7:$I$206,"Accepted",Daily!$P$7:$P$206,"Recorded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4" s="29" t="str">
        <x:f>IF(A54="","",WBS!I54)</x:f>
      </x:c>
      <x:c r="G54" s="29" t="str">
        <x:f>IF(A54="","",WBS!E54)</x:f>
      </x:c>
      <x:c r="H54" s="30" t="str">
        <x:f>IF(A54="","",WBS!J54)</x:f>
      </x:c>
    </x:row>
    <x:row r="55">
      <x:c r="A55" t="str">
        <x:f>IF(WBS!A55="","",WBS!A55)</x:f>
      </x:c>
      <x:c r="B55" t="str">
        <x:f>IF(A55="","",WBS!C55)</x:f>
      </x:c>
      <x:c r="C55" t="str">
        <x:f>IF(A55="","",WBS!D55)</x:f>
      </x:c>
      <x:c r="D55" s="29" t="str">
        <x:f>IF(OR(A55="",Setup!$B$7="",Setup!$B$8="",Setup!$B$8&lt;Setup!$B$7),"",SUMIFS(Daily!$G$7:$G$206,Daily!$Q$7:$Q$206,"Matched",Daily!$P$7:$P$206,"&lt;&gt;Duplicate event ID",Daily!$G$7:$G$206,"&gt;=0",Daily!$C$7:$C$206,A55,Daily!$B$7:$B$206,Setup!$B$4,Daily!$D$7:$D$206,"&gt;="&amp;Setup!$B$7,Daily!$D$7:$D$206,"&lt;="&amp;Setup!$B$8))</x:f>
      </x:c>
      <x:c r="E55" s="29" t="str">
        <x:f>IF(OR(A55="",Setup!$B$7="",Setup!$B$8="",Setup!$B$8&lt;Setup!$B$7),"",SUMIFS(Daily!$H$7:$H$206,Daily!$C$7:$C$206,A55,Daily!$B$7:$B$206,Setup!$B$4,Daily!$I$7:$I$206,"Accepted",Daily!$P$7:$P$206,"Recorded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5" s="29" t="str">
        <x:f>IF(A55="","",WBS!I55)</x:f>
      </x:c>
      <x:c r="G55" s="29" t="str">
        <x:f>IF(A55="","",WBS!E55)</x:f>
      </x:c>
      <x:c r="H55" s="30" t="str">
        <x:f>IF(A55="","",WBS!J55)</x:f>
      </x:c>
    </x:row>
    <x:row r="56">
      <x:c r="A56" t="str">
        <x:f>IF(WBS!A56="","",WBS!A56)</x:f>
      </x:c>
      <x:c r="B56" t="str">
        <x:f>IF(A56="","",WBS!C56)</x:f>
      </x:c>
      <x:c r="C56" t="str">
        <x:f>IF(A56="","",WBS!D56)</x:f>
      </x:c>
      <x:c r="D56" s="29" t="str">
        <x:f>IF(OR(A56="",Setup!$B$7="",Setup!$B$8="",Setup!$B$8&lt;Setup!$B$7),"",SUMIFS(Daily!$G$7:$G$206,Daily!$Q$7:$Q$206,"Matched",Daily!$P$7:$P$206,"&lt;&gt;Duplicate event ID",Daily!$G$7:$G$206,"&gt;=0",Daily!$C$7:$C$206,A56,Daily!$B$7:$B$206,Setup!$B$4,Daily!$D$7:$D$206,"&gt;="&amp;Setup!$B$7,Daily!$D$7:$D$206,"&lt;="&amp;Setup!$B$8))</x:f>
      </x:c>
      <x:c r="E56" s="29" t="str">
        <x:f>IF(OR(A56="",Setup!$B$7="",Setup!$B$8="",Setup!$B$8&lt;Setup!$B$7),"",SUMIFS(Daily!$H$7:$H$206,Daily!$C$7:$C$206,A56,Daily!$B$7:$B$206,Setup!$B$4,Daily!$I$7:$I$206,"Accepted",Daily!$P$7:$P$206,"Recorded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6" s="29" t="str">
        <x:f>IF(A56="","",WBS!I56)</x:f>
      </x:c>
      <x:c r="G56" s="29" t="str">
        <x:f>IF(A56="","",WBS!E56)</x:f>
      </x:c>
      <x:c r="H56" s="30" t="str">
        <x:f>IF(A56="","",WBS!J56)</x:f>
      </x:c>
    </x:row>
    <x:row r="57">
      <x:c r="A57" t="str">
        <x:f>IF(WBS!A57="","",WBS!A57)</x:f>
      </x:c>
      <x:c r="B57" t="str">
        <x:f>IF(A57="","",WBS!C57)</x:f>
      </x:c>
      <x:c r="C57" t="str">
        <x:f>IF(A57="","",WBS!D57)</x:f>
      </x:c>
      <x:c r="D57" s="29" t="str">
        <x:f>IF(OR(A57="",Setup!$B$7="",Setup!$B$8="",Setup!$B$8&lt;Setup!$B$7),"",SUMIFS(Daily!$G$7:$G$206,Daily!$Q$7:$Q$206,"Matched",Daily!$P$7:$P$206,"&lt;&gt;Duplicate event ID",Daily!$G$7:$G$206,"&gt;=0",Daily!$C$7:$C$206,A57,Daily!$B$7:$B$206,Setup!$B$4,Daily!$D$7:$D$206,"&gt;="&amp;Setup!$B$7,Daily!$D$7:$D$206,"&lt;="&amp;Setup!$B$8))</x:f>
      </x:c>
      <x:c r="E57" s="29" t="str">
        <x:f>IF(OR(A57="",Setup!$B$7="",Setup!$B$8="",Setup!$B$8&lt;Setup!$B$7),"",SUMIFS(Daily!$H$7:$H$206,Daily!$C$7:$C$206,A57,Daily!$B$7:$B$206,Setup!$B$4,Daily!$I$7:$I$206,"Accepted",Daily!$P$7:$P$206,"Recorded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7" s="29" t="str">
        <x:f>IF(A57="","",WBS!I57)</x:f>
      </x:c>
      <x:c r="G57" s="29" t="str">
        <x:f>IF(A57="","",WBS!E57)</x:f>
      </x:c>
      <x:c r="H57" s="30" t="str">
        <x:f>IF(A57="","",WBS!J57)</x:f>
      </x:c>
    </x:row>
    <x:row r="58">
      <x:c r="A58" t="str">
        <x:f>IF(WBS!A58="","",WBS!A58)</x:f>
      </x:c>
      <x:c r="B58" t="str">
        <x:f>IF(A58="","",WBS!C58)</x:f>
      </x:c>
      <x:c r="C58" t="str">
        <x:f>IF(A58="","",WBS!D58)</x:f>
      </x:c>
      <x:c r="D58" s="29" t="str">
        <x:f>IF(OR(A58="",Setup!$B$7="",Setup!$B$8="",Setup!$B$8&lt;Setup!$B$7),"",SUMIFS(Daily!$G$7:$G$206,Daily!$Q$7:$Q$206,"Matched",Daily!$P$7:$P$206,"&lt;&gt;Duplicate event ID",Daily!$G$7:$G$206,"&gt;=0",Daily!$C$7:$C$206,A58,Daily!$B$7:$B$206,Setup!$B$4,Daily!$D$7:$D$206,"&gt;="&amp;Setup!$B$7,Daily!$D$7:$D$206,"&lt;="&amp;Setup!$B$8))</x:f>
      </x:c>
      <x:c r="E58" s="29" t="str">
        <x:f>IF(OR(A58="",Setup!$B$7="",Setup!$B$8="",Setup!$B$8&lt;Setup!$B$7),"",SUMIFS(Daily!$H$7:$H$206,Daily!$C$7:$C$206,A58,Daily!$B$7:$B$206,Setup!$B$4,Daily!$I$7:$I$206,"Accepted",Daily!$P$7:$P$206,"Recorded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8" s="29" t="str">
        <x:f>IF(A58="","",WBS!I58)</x:f>
      </x:c>
      <x:c r="G58" s="29" t="str">
        <x:f>IF(A58="","",WBS!E58)</x:f>
      </x:c>
      <x:c r="H58" s="30" t="str">
        <x:f>IF(A58="","",WBS!J58)</x:f>
      </x:c>
    </x:row>
    <x:row r="59">
      <x:c r="A59" t="str">
        <x:f>IF(WBS!A59="","",WBS!A59)</x:f>
      </x:c>
      <x:c r="B59" t="str">
        <x:f>IF(A59="","",WBS!C59)</x:f>
      </x:c>
      <x:c r="C59" t="str">
        <x:f>IF(A59="","",WBS!D59)</x:f>
      </x:c>
      <x:c r="D59" s="29" t="str">
        <x:f>IF(OR(A59="",Setup!$B$7="",Setup!$B$8="",Setup!$B$8&lt;Setup!$B$7),"",SUMIFS(Daily!$G$7:$G$206,Daily!$Q$7:$Q$206,"Matched",Daily!$P$7:$P$206,"&lt;&gt;Duplicate event ID",Daily!$G$7:$G$206,"&gt;=0",Daily!$C$7:$C$206,A59,Daily!$B$7:$B$206,Setup!$B$4,Daily!$D$7:$D$206,"&gt;="&amp;Setup!$B$7,Daily!$D$7:$D$206,"&lt;="&amp;Setup!$B$8))</x:f>
      </x:c>
      <x:c r="E59" s="29" t="str">
        <x:f>IF(OR(A59="",Setup!$B$7="",Setup!$B$8="",Setup!$B$8&lt;Setup!$B$7),"",SUMIFS(Daily!$H$7:$H$206,Daily!$C$7:$C$206,A59,Daily!$B$7:$B$206,Setup!$B$4,Daily!$I$7:$I$206,"Accepted",Daily!$P$7:$P$206,"Recorded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9" s="29" t="str">
        <x:f>IF(A59="","",WBS!I59)</x:f>
      </x:c>
      <x:c r="G59" s="29" t="str">
        <x:f>IF(A59="","",WBS!E59)</x:f>
      </x:c>
      <x:c r="H59" s="30" t="str">
        <x:f>IF(A59="","",WBS!J59)</x:f>
      </x:c>
    </x:row>
    <x:row r="60">
      <x:c r="A60" t="str">
        <x:f>IF(WBS!A60="","",WBS!A60)</x:f>
      </x:c>
      <x:c r="B60" t="str">
        <x:f>IF(A60="","",WBS!C60)</x:f>
      </x:c>
      <x:c r="C60" t="str">
        <x:f>IF(A60="","",WBS!D60)</x:f>
      </x:c>
      <x:c r="D60" s="29" t="str">
        <x:f>IF(OR(A60="",Setup!$B$7="",Setup!$B$8="",Setup!$B$8&lt;Setup!$B$7),"",SUMIFS(Daily!$G$7:$G$206,Daily!$Q$7:$Q$206,"Matched",Daily!$P$7:$P$206,"&lt;&gt;Duplicate event ID",Daily!$G$7:$G$206,"&gt;=0",Daily!$C$7:$C$206,A60,Daily!$B$7:$B$206,Setup!$B$4,Daily!$D$7:$D$206,"&gt;="&amp;Setup!$B$7,Daily!$D$7:$D$206,"&lt;="&amp;Setup!$B$8))</x:f>
      </x:c>
      <x:c r="E60" s="29" t="str">
        <x:f>IF(OR(A60="",Setup!$B$7="",Setup!$B$8="",Setup!$B$8&lt;Setup!$B$7),"",SUMIFS(Daily!$H$7:$H$206,Daily!$C$7:$C$206,A60,Daily!$B$7:$B$206,Setup!$B$4,Daily!$I$7:$I$206,"Accepted",Daily!$P$7:$P$206,"Recorded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0" s="29" t="str">
        <x:f>IF(A60="","",WBS!I60)</x:f>
      </x:c>
      <x:c r="G60" s="29" t="str">
        <x:f>IF(A60="","",WBS!E60)</x:f>
      </x:c>
      <x:c r="H60" s="30" t="str">
        <x:f>IF(A60="","",WBS!J60)</x:f>
      </x:c>
    </x:row>
    <x:row r="61">
      <x:c r="A61" t="str">
        <x:f>IF(WBS!A61="","",WBS!A61)</x:f>
      </x:c>
      <x:c r="B61" t="str">
        <x:f>IF(A61="","",WBS!C61)</x:f>
      </x:c>
      <x:c r="C61" t="str">
        <x:f>IF(A61="","",WBS!D61)</x:f>
      </x:c>
      <x:c r="D61" s="29" t="str">
        <x:f>IF(OR(A61="",Setup!$B$7="",Setup!$B$8="",Setup!$B$8&lt;Setup!$B$7),"",SUMIFS(Daily!$G$7:$G$206,Daily!$Q$7:$Q$206,"Matched",Daily!$P$7:$P$206,"&lt;&gt;Duplicate event ID",Daily!$G$7:$G$206,"&gt;=0",Daily!$C$7:$C$206,A61,Daily!$B$7:$B$206,Setup!$B$4,Daily!$D$7:$D$206,"&gt;="&amp;Setup!$B$7,Daily!$D$7:$D$206,"&lt;="&amp;Setup!$B$8))</x:f>
      </x:c>
      <x:c r="E61" s="29" t="str">
        <x:f>IF(OR(A61="",Setup!$B$7="",Setup!$B$8="",Setup!$B$8&lt;Setup!$B$7),"",SUMIFS(Daily!$H$7:$H$206,Daily!$C$7:$C$206,A61,Daily!$B$7:$B$206,Setup!$B$4,Daily!$I$7:$I$206,"Accepted",Daily!$P$7:$P$206,"Recorded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1" s="29" t="str">
        <x:f>IF(A61="","",WBS!I61)</x:f>
      </x:c>
      <x:c r="G61" s="29" t="str">
        <x:f>IF(A61="","",WBS!E61)</x:f>
      </x:c>
      <x:c r="H61" s="30" t="str">
        <x:f>IF(A61="","",WBS!J61)</x:f>
      </x:c>
    </x:row>
    <x:row r="62">
      <x:c r="A62" t="str">
        <x:f>IF(WBS!A62="","",WBS!A62)</x:f>
      </x:c>
      <x:c r="B62" t="str">
        <x:f>IF(A62="","",WBS!C62)</x:f>
      </x:c>
      <x:c r="C62" t="str">
        <x:f>IF(A62="","",WBS!D62)</x:f>
      </x:c>
      <x:c r="D62" s="29" t="str">
        <x:f>IF(OR(A62="",Setup!$B$7="",Setup!$B$8="",Setup!$B$8&lt;Setup!$B$7),"",SUMIFS(Daily!$G$7:$G$206,Daily!$Q$7:$Q$206,"Matched",Daily!$P$7:$P$206,"&lt;&gt;Duplicate event ID",Daily!$G$7:$G$206,"&gt;=0",Daily!$C$7:$C$206,A62,Daily!$B$7:$B$206,Setup!$B$4,Daily!$D$7:$D$206,"&gt;="&amp;Setup!$B$7,Daily!$D$7:$D$206,"&lt;="&amp;Setup!$B$8))</x:f>
      </x:c>
      <x:c r="E62" s="29" t="str">
        <x:f>IF(OR(A62="",Setup!$B$7="",Setup!$B$8="",Setup!$B$8&lt;Setup!$B$7),"",SUMIFS(Daily!$H$7:$H$206,Daily!$C$7:$C$206,A62,Daily!$B$7:$B$206,Setup!$B$4,Daily!$I$7:$I$206,"Accepted",Daily!$P$7:$P$206,"Recorded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2" s="29" t="str">
        <x:f>IF(A62="","",WBS!I62)</x:f>
      </x:c>
      <x:c r="G62" s="29" t="str">
        <x:f>IF(A62="","",WBS!E62)</x:f>
      </x:c>
      <x:c r="H62" s="30" t="str">
        <x:f>IF(A62="","",WBS!J62)</x:f>
      </x:c>
    </x:row>
    <x:row r="63">
      <x:c r="A63" t="str">
        <x:f>IF(WBS!A63="","",WBS!A63)</x:f>
      </x:c>
      <x:c r="B63" t="str">
        <x:f>IF(A63="","",WBS!C63)</x:f>
      </x:c>
      <x:c r="C63" t="str">
        <x:f>IF(A63="","",WBS!D63)</x:f>
      </x:c>
      <x:c r="D63" s="29" t="str">
        <x:f>IF(OR(A63="",Setup!$B$7="",Setup!$B$8="",Setup!$B$8&lt;Setup!$B$7),"",SUMIFS(Daily!$G$7:$G$206,Daily!$Q$7:$Q$206,"Matched",Daily!$P$7:$P$206,"&lt;&gt;Duplicate event ID",Daily!$G$7:$G$206,"&gt;=0",Daily!$C$7:$C$206,A63,Daily!$B$7:$B$206,Setup!$B$4,Daily!$D$7:$D$206,"&gt;="&amp;Setup!$B$7,Daily!$D$7:$D$206,"&lt;="&amp;Setup!$B$8))</x:f>
      </x:c>
      <x:c r="E63" s="29" t="str">
        <x:f>IF(OR(A63="",Setup!$B$7="",Setup!$B$8="",Setup!$B$8&lt;Setup!$B$7),"",SUMIFS(Daily!$H$7:$H$206,Daily!$C$7:$C$206,A63,Daily!$B$7:$B$206,Setup!$B$4,Daily!$I$7:$I$206,"Accepted",Daily!$P$7:$P$206,"Recorded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3" s="29" t="str">
        <x:f>IF(A63="","",WBS!I63)</x:f>
      </x:c>
      <x:c r="G63" s="29" t="str">
        <x:f>IF(A63="","",WBS!E63)</x:f>
      </x:c>
      <x:c r="H63" s="30" t="str">
        <x:f>IF(A63="","",WBS!J63)</x:f>
      </x:c>
    </x:row>
    <x:row r="64">
      <x:c r="A64" t="str">
        <x:f>IF(WBS!A64="","",WBS!A64)</x:f>
      </x:c>
      <x:c r="B64" t="str">
        <x:f>IF(A64="","",WBS!C64)</x:f>
      </x:c>
      <x:c r="C64" t="str">
        <x:f>IF(A64="","",WBS!D64)</x:f>
      </x:c>
      <x:c r="D64" s="29" t="str">
        <x:f>IF(OR(A64="",Setup!$B$7="",Setup!$B$8="",Setup!$B$8&lt;Setup!$B$7),"",SUMIFS(Daily!$G$7:$G$206,Daily!$Q$7:$Q$206,"Matched",Daily!$P$7:$P$206,"&lt;&gt;Duplicate event ID",Daily!$G$7:$G$206,"&gt;=0",Daily!$C$7:$C$206,A64,Daily!$B$7:$B$206,Setup!$B$4,Daily!$D$7:$D$206,"&gt;="&amp;Setup!$B$7,Daily!$D$7:$D$206,"&lt;="&amp;Setup!$B$8))</x:f>
      </x:c>
      <x:c r="E64" s="29" t="str">
        <x:f>IF(OR(A64="",Setup!$B$7="",Setup!$B$8="",Setup!$B$8&lt;Setup!$B$7),"",SUMIFS(Daily!$H$7:$H$206,Daily!$C$7:$C$206,A64,Daily!$B$7:$B$206,Setup!$B$4,Daily!$I$7:$I$206,"Accepted",Daily!$P$7:$P$206,"Recorded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4" s="29" t="str">
        <x:f>IF(A64="","",WBS!I64)</x:f>
      </x:c>
      <x:c r="G64" s="29" t="str">
        <x:f>IF(A64="","",WBS!E64)</x:f>
      </x:c>
      <x:c r="H64" s="30" t="str">
        <x:f>IF(A64="","",WBS!J64)</x:f>
      </x:c>
    </x:row>
    <x:row r="65">
      <x:c r="A65" t="str">
        <x:f>IF(WBS!A65="","",WBS!A65)</x:f>
      </x:c>
      <x:c r="B65" t="str">
        <x:f>IF(A65="","",WBS!C65)</x:f>
      </x:c>
      <x:c r="C65" t="str">
        <x:f>IF(A65="","",WBS!D65)</x:f>
      </x:c>
      <x:c r="D65" s="29" t="str">
        <x:f>IF(OR(A65="",Setup!$B$7="",Setup!$B$8="",Setup!$B$8&lt;Setup!$B$7),"",SUMIFS(Daily!$G$7:$G$206,Daily!$Q$7:$Q$206,"Matched",Daily!$P$7:$P$206,"&lt;&gt;Duplicate event ID",Daily!$G$7:$G$206,"&gt;=0",Daily!$C$7:$C$206,A65,Daily!$B$7:$B$206,Setup!$B$4,Daily!$D$7:$D$206,"&gt;="&amp;Setup!$B$7,Daily!$D$7:$D$206,"&lt;="&amp;Setup!$B$8))</x:f>
      </x:c>
      <x:c r="E65" s="29" t="str">
        <x:f>IF(OR(A65="",Setup!$B$7="",Setup!$B$8="",Setup!$B$8&lt;Setup!$B$7),"",SUMIFS(Daily!$H$7:$H$206,Daily!$C$7:$C$206,A65,Daily!$B$7:$B$206,Setup!$B$4,Daily!$I$7:$I$206,"Accepted",Daily!$P$7:$P$206,"Recorded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5" s="29" t="str">
        <x:f>IF(A65="","",WBS!I65)</x:f>
      </x:c>
      <x:c r="G65" s="29" t="str">
        <x:f>IF(A65="","",WBS!E65)</x:f>
      </x:c>
      <x:c r="H65" s="30" t="str">
        <x:f>IF(A65="","",WBS!J65)</x:f>
      </x:c>
    </x:row>
    <x:row r="66">
      <x:c r="A66" t="str">
        <x:f>IF(WBS!A66="","",WBS!A66)</x:f>
      </x:c>
      <x:c r="B66" t="str">
        <x:f>IF(A66="","",WBS!C66)</x:f>
      </x:c>
      <x:c r="C66" t="str">
        <x:f>IF(A66="","",WBS!D66)</x:f>
      </x:c>
      <x:c r="D66" s="29" t="str">
        <x:f>IF(OR(A66="",Setup!$B$7="",Setup!$B$8="",Setup!$B$8&lt;Setup!$B$7),"",SUMIFS(Daily!$G$7:$G$206,Daily!$Q$7:$Q$206,"Matched",Daily!$P$7:$P$206,"&lt;&gt;Duplicate event ID",Daily!$G$7:$G$206,"&gt;=0",Daily!$C$7:$C$206,A66,Daily!$B$7:$B$206,Setup!$B$4,Daily!$D$7:$D$206,"&gt;="&amp;Setup!$B$7,Daily!$D$7:$D$206,"&lt;="&amp;Setup!$B$8))</x:f>
      </x:c>
      <x:c r="E66" s="29" t="str">
        <x:f>IF(OR(A66="",Setup!$B$7="",Setup!$B$8="",Setup!$B$8&lt;Setup!$B$7),"",SUMIFS(Daily!$H$7:$H$206,Daily!$C$7:$C$206,A66,Daily!$B$7:$B$206,Setup!$B$4,Daily!$I$7:$I$206,"Accepted",Daily!$P$7:$P$206,"Recorded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6" s="29" t="str">
        <x:f>IF(A66="","",WBS!I66)</x:f>
      </x:c>
      <x:c r="G66" s="29" t="str">
        <x:f>IF(A66="","",WBS!E66)</x:f>
      </x:c>
      <x:c r="H66" s="30" t="str">
        <x:f>IF(A66="","",WBS!J66)</x:f>
      </x:c>
    </x:row>
    <x:row r="67">
      <x:c r="A67" t="str">
        <x:f>IF(WBS!A67="","",WBS!A67)</x:f>
      </x:c>
      <x:c r="B67" t="str">
        <x:f>IF(A67="","",WBS!C67)</x:f>
      </x:c>
      <x:c r="C67" t="str">
        <x:f>IF(A67="","",WBS!D67)</x:f>
      </x:c>
      <x:c r="D67" s="29" t="str">
        <x:f>IF(OR(A67="",Setup!$B$7="",Setup!$B$8="",Setup!$B$8&lt;Setup!$B$7),"",SUMIFS(Daily!$G$7:$G$206,Daily!$Q$7:$Q$206,"Matched",Daily!$P$7:$P$206,"&lt;&gt;Duplicate event ID",Daily!$G$7:$G$206,"&gt;=0",Daily!$C$7:$C$206,A67,Daily!$B$7:$B$206,Setup!$B$4,Daily!$D$7:$D$206,"&gt;="&amp;Setup!$B$7,Daily!$D$7:$D$206,"&lt;="&amp;Setup!$B$8))</x:f>
      </x:c>
      <x:c r="E67" s="29" t="str">
        <x:f>IF(OR(A67="",Setup!$B$7="",Setup!$B$8="",Setup!$B$8&lt;Setup!$B$7),"",SUMIFS(Daily!$H$7:$H$206,Daily!$C$7:$C$206,A67,Daily!$B$7:$B$206,Setup!$B$4,Daily!$I$7:$I$206,"Accepted",Daily!$P$7:$P$206,"Recorded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7" s="29" t="str">
        <x:f>IF(A67="","",WBS!I67)</x:f>
      </x:c>
      <x:c r="G67" s="29" t="str">
        <x:f>IF(A67="","",WBS!E67)</x:f>
      </x:c>
      <x:c r="H67" s="30" t="str">
        <x:f>IF(A67="","",WBS!J67)</x:f>
      </x:c>
    </x:row>
    <x:row r="68">
      <x:c r="A68" t="str">
        <x:f>IF(WBS!A68="","",WBS!A68)</x:f>
      </x:c>
      <x:c r="B68" t="str">
        <x:f>IF(A68="","",WBS!C68)</x:f>
      </x:c>
      <x:c r="C68" t="str">
        <x:f>IF(A68="","",WBS!D68)</x:f>
      </x:c>
      <x:c r="D68" s="29" t="str">
        <x:f>IF(OR(A68="",Setup!$B$7="",Setup!$B$8="",Setup!$B$8&lt;Setup!$B$7),"",SUMIFS(Daily!$G$7:$G$206,Daily!$Q$7:$Q$206,"Matched",Daily!$P$7:$P$206,"&lt;&gt;Duplicate event ID",Daily!$G$7:$G$206,"&gt;=0",Daily!$C$7:$C$206,A68,Daily!$B$7:$B$206,Setup!$B$4,Daily!$D$7:$D$206,"&gt;="&amp;Setup!$B$7,Daily!$D$7:$D$206,"&lt;="&amp;Setup!$B$8))</x:f>
      </x:c>
      <x:c r="E68" s="29" t="str">
        <x:f>IF(OR(A68="",Setup!$B$7="",Setup!$B$8="",Setup!$B$8&lt;Setup!$B$7),"",SUMIFS(Daily!$H$7:$H$206,Daily!$C$7:$C$206,A68,Daily!$B$7:$B$206,Setup!$B$4,Daily!$I$7:$I$206,"Accepted",Daily!$P$7:$P$206,"Recorded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8" s="29" t="str">
        <x:f>IF(A68="","",WBS!I68)</x:f>
      </x:c>
      <x:c r="G68" s="29" t="str">
        <x:f>IF(A68="","",WBS!E68)</x:f>
      </x:c>
      <x:c r="H68" s="30" t="str">
        <x:f>IF(A68="","",WBS!J68)</x:f>
      </x:c>
    </x:row>
    <x:row r="69">
      <x:c r="A69" t="str">
        <x:f>IF(WBS!A69="","",WBS!A69)</x:f>
      </x:c>
      <x:c r="B69" t="str">
        <x:f>IF(A69="","",WBS!C69)</x:f>
      </x:c>
      <x:c r="C69" t="str">
        <x:f>IF(A69="","",WBS!D69)</x:f>
      </x:c>
      <x:c r="D69" s="29" t="str">
        <x:f>IF(OR(A69="",Setup!$B$7="",Setup!$B$8="",Setup!$B$8&lt;Setup!$B$7),"",SUMIFS(Daily!$G$7:$G$206,Daily!$Q$7:$Q$206,"Matched",Daily!$P$7:$P$206,"&lt;&gt;Duplicate event ID",Daily!$G$7:$G$206,"&gt;=0",Daily!$C$7:$C$206,A69,Daily!$B$7:$B$206,Setup!$B$4,Daily!$D$7:$D$206,"&gt;="&amp;Setup!$B$7,Daily!$D$7:$D$206,"&lt;="&amp;Setup!$B$8))</x:f>
      </x:c>
      <x:c r="E69" s="29" t="str">
        <x:f>IF(OR(A69="",Setup!$B$7="",Setup!$B$8="",Setup!$B$8&lt;Setup!$B$7),"",SUMIFS(Daily!$H$7:$H$206,Daily!$C$7:$C$206,A69,Daily!$B$7:$B$206,Setup!$B$4,Daily!$I$7:$I$206,"Accepted",Daily!$P$7:$P$206,"Recorded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9" s="29" t="str">
        <x:f>IF(A69="","",WBS!I69)</x:f>
      </x:c>
      <x:c r="G69" s="29" t="str">
        <x:f>IF(A69="","",WBS!E69)</x:f>
      </x:c>
      <x:c r="H69" s="30" t="str">
        <x:f>IF(A69="","",WBS!J69)</x:f>
      </x:c>
    </x:row>
    <x:row r="70">
      <x:c r="A70" t="str">
        <x:f>IF(WBS!A70="","",WBS!A70)</x:f>
      </x:c>
      <x:c r="B70" t="str">
        <x:f>IF(A70="","",WBS!C70)</x:f>
      </x:c>
      <x:c r="C70" t="str">
        <x:f>IF(A70="","",WBS!D70)</x:f>
      </x:c>
      <x:c r="D70" s="29" t="str">
        <x:f>IF(OR(A70="",Setup!$B$7="",Setup!$B$8="",Setup!$B$8&lt;Setup!$B$7),"",SUMIFS(Daily!$G$7:$G$206,Daily!$Q$7:$Q$206,"Matched",Daily!$P$7:$P$206,"&lt;&gt;Duplicate event ID",Daily!$G$7:$G$206,"&gt;=0",Daily!$C$7:$C$206,A70,Daily!$B$7:$B$206,Setup!$B$4,Daily!$D$7:$D$206,"&gt;="&amp;Setup!$B$7,Daily!$D$7:$D$206,"&lt;="&amp;Setup!$B$8))</x:f>
      </x:c>
      <x:c r="E70" s="29" t="str">
        <x:f>IF(OR(A70="",Setup!$B$7="",Setup!$B$8="",Setup!$B$8&lt;Setup!$B$7),"",SUMIFS(Daily!$H$7:$H$206,Daily!$C$7:$C$206,A70,Daily!$B$7:$B$206,Setup!$B$4,Daily!$I$7:$I$206,"Accepted",Daily!$P$7:$P$206,"Recorded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0" s="29" t="str">
        <x:f>IF(A70="","",WBS!I70)</x:f>
      </x:c>
      <x:c r="G70" s="29" t="str">
        <x:f>IF(A70="","",WBS!E70)</x:f>
      </x:c>
      <x:c r="H70" s="30" t="str">
        <x:f>IF(A70="","",WBS!J70)</x:f>
      </x:c>
    </x:row>
    <x:row r="71">
      <x:c r="A71" t="str">
        <x:f>IF(WBS!A71="","",WBS!A71)</x:f>
      </x:c>
      <x:c r="B71" t="str">
        <x:f>IF(A71="","",WBS!C71)</x:f>
      </x:c>
      <x:c r="C71" t="str">
        <x:f>IF(A71="","",WBS!D71)</x:f>
      </x:c>
      <x:c r="D71" s="29" t="str">
        <x:f>IF(OR(A71="",Setup!$B$7="",Setup!$B$8="",Setup!$B$8&lt;Setup!$B$7),"",SUMIFS(Daily!$G$7:$G$206,Daily!$Q$7:$Q$206,"Matched",Daily!$P$7:$P$206,"&lt;&gt;Duplicate event ID",Daily!$G$7:$G$206,"&gt;=0",Daily!$C$7:$C$206,A71,Daily!$B$7:$B$206,Setup!$B$4,Daily!$D$7:$D$206,"&gt;="&amp;Setup!$B$7,Daily!$D$7:$D$206,"&lt;="&amp;Setup!$B$8))</x:f>
      </x:c>
      <x:c r="E71" s="29" t="str">
        <x:f>IF(OR(A71="",Setup!$B$7="",Setup!$B$8="",Setup!$B$8&lt;Setup!$B$7),"",SUMIFS(Daily!$H$7:$H$206,Daily!$C$7:$C$206,A71,Daily!$B$7:$B$206,Setup!$B$4,Daily!$I$7:$I$206,"Accepted",Daily!$P$7:$P$206,"Recorded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1" s="29" t="str">
        <x:f>IF(A71="","",WBS!I71)</x:f>
      </x:c>
      <x:c r="G71" s="29" t="str">
        <x:f>IF(A71="","",WBS!E71)</x:f>
      </x:c>
      <x:c r="H71" s="30" t="str">
        <x:f>IF(A71="","",WBS!J71)</x:f>
      </x:c>
    </x:row>
    <x:row r="72">
      <x:c r="A72" t="str">
        <x:f>IF(WBS!A72="","",WBS!A72)</x:f>
      </x:c>
      <x:c r="B72" t="str">
        <x:f>IF(A72="","",WBS!C72)</x:f>
      </x:c>
      <x:c r="C72" t="str">
        <x:f>IF(A72="","",WBS!D72)</x:f>
      </x:c>
      <x:c r="D72" s="29" t="str">
        <x:f>IF(OR(A72="",Setup!$B$7="",Setup!$B$8="",Setup!$B$8&lt;Setup!$B$7),"",SUMIFS(Daily!$G$7:$G$206,Daily!$Q$7:$Q$206,"Matched",Daily!$P$7:$P$206,"&lt;&gt;Duplicate event ID",Daily!$G$7:$G$206,"&gt;=0",Daily!$C$7:$C$206,A72,Daily!$B$7:$B$206,Setup!$B$4,Daily!$D$7:$D$206,"&gt;="&amp;Setup!$B$7,Daily!$D$7:$D$206,"&lt;="&amp;Setup!$B$8))</x:f>
      </x:c>
      <x:c r="E72" s="29" t="str">
        <x:f>IF(OR(A72="",Setup!$B$7="",Setup!$B$8="",Setup!$B$8&lt;Setup!$B$7),"",SUMIFS(Daily!$H$7:$H$206,Daily!$C$7:$C$206,A72,Daily!$B$7:$B$206,Setup!$B$4,Daily!$I$7:$I$206,"Accepted",Daily!$P$7:$P$206,"Recorded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2" s="29" t="str">
        <x:f>IF(A72="","",WBS!I72)</x:f>
      </x:c>
      <x:c r="G72" s="29" t="str">
        <x:f>IF(A72="","",WBS!E72)</x:f>
      </x:c>
      <x:c r="H72" s="30" t="str">
        <x:f>IF(A72="","",WBS!J72)</x:f>
      </x:c>
    </x:row>
    <x:row r="73">
      <x:c r="A73" t="str">
        <x:f>IF(WBS!A73="","",WBS!A73)</x:f>
      </x:c>
      <x:c r="B73" t="str">
        <x:f>IF(A73="","",WBS!C73)</x:f>
      </x:c>
      <x:c r="C73" t="str">
        <x:f>IF(A73="","",WBS!D73)</x:f>
      </x:c>
      <x:c r="D73" s="29" t="str">
        <x:f>IF(OR(A73="",Setup!$B$7="",Setup!$B$8="",Setup!$B$8&lt;Setup!$B$7),"",SUMIFS(Daily!$G$7:$G$206,Daily!$Q$7:$Q$206,"Matched",Daily!$P$7:$P$206,"&lt;&gt;Duplicate event ID",Daily!$G$7:$G$206,"&gt;=0",Daily!$C$7:$C$206,A73,Daily!$B$7:$B$206,Setup!$B$4,Daily!$D$7:$D$206,"&gt;="&amp;Setup!$B$7,Daily!$D$7:$D$206,"&lt;="&amp;Setup!$B$8))</x:f>
      </x:c>
      <x:c r="E73" s="29" t="str">
        <x:f>IF(OR(A73="",Setup!$B$7="",Setup!$B$8="",Setup!$B$8&lt;Setup!$B$7),"",SUMIFS(Daily!$H$7:$H$206,Daily!$C$7:$C$206,A73,Daily!$B$7:$B$206,Setup!$B$4,Daily!$I$7:$I$206,"Accepted",Daily!$P$7:$P$206,"Recorded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3" s="29" t="str">
        <x:f>IF(A73="","",WBS!I73)</x:f>
      </x:c>
      <x:c r="G73" s="29" t="str">
        <x:f>IF(A73="","",WBS!E73)</x:f>
      </x:c>
      <x:c r="H73" s="30" t="str">
        <x:f>IF(A73="","",WBS!J73)</x:f>
      </x:c>
    </x:row>
    <x:row r="74">
      <x:c r="A74" t="str">
        <x:f>IF(WBS!A74="","",WBS!A74)</x:f>
      </x:c>
      <x:c r="B74" t="str">
        <x:f>IF(A74="","",WBS!C74)</x:f>
      </x:c>
      <x:c r="C74" t="str">
        <x:f>IF(A74="","",WBS!D74)</x:f>
      </x:c>
      <x:c r="D74" s="29" t="str">
        <x:f>IF(OR(A74="",Setup!$B$7="",Setup!$B$8="",Setup!$B$8&lt;Setup!$B$7),"",SUMIFS(Daily!$G$7:$G$206,Daily!$Q$7:$Q$206,"Matched",Daily!$P$7:$P$206,"&lt;&gt;Duplicate event ID",Daily!$G$7:$G$206,"&gt;=0",Daily!$C$7:$C$206,A74,Daily!$B$7:$B$206,Setup!$B$4,Daily!$D$7:$D$206,"&gt;="&amp;Setup!$B$7,Daily!$D$7:$D$206,"&lt;="&amp;Setup!$B$8))</x:f>
      </x:c>
      <x:c r="E74" s="29" t="str">
        <x:f>IF(OR(A74="",Setup!$B$7="",Setup!$B$8="",Setup!$B$8&lt;Setup!$B$7),"",SUMIFS(Daily!$H$7:$H$206,Daily!$C$7:$C$206,A74,Daily!$B$7:$B$206,Setup!$B$4,Daily!$I$7:$I$206,"Accepted",Daily!$P$7:$P$206,"Recorded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4" s="29" t="str">
        <x:f>IF(A74="","",WBS!I74)</x:f>
      </x:c>
      <x:c r="G74" s="29" t="str">
        <x:f>IF(A74="","",WBS!E74)</x:f>
      </x:c>
      <x:c r="H74" s="30" t="str">
        <x:f>IF(A74="","",WBS!J74)</x:f>
      </x:c>
    </x:row>
    <x:row r="75">
      <x:c r="A75" t="str">
        <x:f>IF(WBS!A75="","",WBS!A75)</x:f>
      </x:c>
      <x:c r="B75" t="str">
        <x:f>IF(A75="","",WBS!C75)</x:f>
      </x:c>
      <x:c r="C75" t="str">
        <x:f>IF(A75="","",WBS!D75)</x:f>
      </x:c>
      <x:c r="D75" s="29" t="str">
        <x:f>IF(OR(A75="",Setup!$B$7="",Setup!$B$8="",Setup!$B$8&lt;Setup!$B$7),"",SUMIFS(Daily!$G$7:$G$206,Daily!$Q$7:$Q$206,"Matched",Daily!$P$7:$P$206,"&lt;&gt;Duplicate event ID",Daily!$G$7:$G$206,"&gt;=0",Daily!$C$7:$C$206,A75,Daily!$B$7:$B$206,Setup!$B$4,Daily!$D$7:$D$206,"&gt;="&amp;Setup!$B$7,Daily!$D$7:$D$206,"&lt;="&amp;Setup!$B$8))</x:f>
      </x:c>
      <x:c r="E75" s="29" t="str">
        <x:f>IF(OR(A75="",Setup!$B$7="",Setup!$B$8="",Setup!$B$8&lt;Setup!$B$7),"",SUMIFS(Daily!$H$7:$H$206,Daily!$C$7:$C$206,A75,Daily!$B$7:$B$206,Setup!$B$4,Daily!$I$7:$I$206,"Accepted",Daily!$P$7:$P$206,"Recorded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5" s="29" t="str">
        <x:f>IF(A75="","",WBS!I75)</x:f>
      </x:c>
      <x:c r="G75" s="29" t="str">
        <x:f>IF(A75="","",WBS!E75)</x:f>
      </x:c>
      <x:c r="H75" s="30" t="str">
        <x:f>IF(A75="","",WBS!J75)</x:f>
      </x:c>
    </x:row>
    <x:row r="76">
      <x:c r="A76" t="str">
        <x:f>IF(WBS!A76="","",WBS!A76)</x:f>
      </x:c>
      <x:c r="B76" t="str">
        <x:f>IF(A76="","",WBS!C76)</x:f>
      </x:c>
      <x:c r="C76" t="str">
        <x:f>IF(A76="","",WBS!D76)</x:f>
      </x:c>
      <x:c r="D76" s="29" t="str">
        <x:f>IF(OR(A76="",Setup!$B$7="",Setup!$B$8="",Setup!$B$8&lt;Setup!$B$7),"",SUMIFS(Daily!$G$7:$G$206,Daily!$Q$7:$Q$206,"Matched",Daily!$P$7:$P$206,"&lt;&gt;Duplicate event ID",Daily!$G$7:$G$206,"&gt;=0",Daily!$C$7:$C$206,A76,Daily!$B$7:$B$206,Setup!$B$4,Daily!$D$7:$D$206,"&gt;="&amp;Setup!$B$7,Daily!$D$7:$D$206,"&lt;="&amp;Setup!$B$8))</x:f>
      </x:c>
      <x:c r="E76" s="29" t="str">
        <x:f>IF(OR(A76="",Setup!$B$7="",Setup!$B$8="",Setup!$B$8&lt;Setup!$B$7),"",SUMIFS(Daily!$H$7:$H$206,Daily!$C$7:$C$206,A76,Daily!$B$7:$B$206,Setup!$B$4,Daily!$I$7:$I$206,"Accepted",Daily!$P$7:$P$206,"Recorded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6" s="29" t="str">
        <x:f>IF(A76="","",WBS!I76)</x:f>
      </x:c>
      <x:c r="G76" s="29" t="str">
        <x:f>IF(A76="","",WBS!E76)</x:f>
      </x:c>
      <x:c r="H76" s="30" t="str">
        <x:f>IF(A76="","",WBS!J76)</x:f>
      </x:c>
    </x:row>
    <x:row r="77">
      <x:c r="A77" t="str">
        <x:f>IF(WBS!A77="","",WBS!A77)</x:f>
      </x:c>
      <x:c r="B77" t="str">
        <x:f>IF(A77="","",WBS!C77)</x:f>
      </x:c>
      <x:c r="C77" t="str">
        <x:f>IF(A77="","",WBS!D77)</x:f>
      </x:c>
      <x:c r="D77" s="29" t="str">
        <x:f>IF(OR(A77="",Setup!$B$7="",Setup!$B$8="",Setup!$B$8&lt;Setup!$B$7),"",SUMIFS(Daily!$G$7:$G$206,Daily!$Q$7:$Q$206,"Matched",Daily!$P$7:$P$206,"&lt;&gt;Duplicate event ID",Daily!$G$7:$G$206,"&gt;=0",Daily!$C$7:$C$206,A77,Daily!$B$7:$B$206,Setup!$B$4,Daily!$D$7:$D$206,"&gt;="&amp;Setup!$B$7,Daily!$D$7:$D$206,"&lt;="&amp;Setup!$B$8))</x:f>
      </x:c>
      <x:c r="E77" s="29" t="str">
        <x:f>IF(OR(A77="",Setup!$B$7="",Setup!$B$8="",Setup!$B$8&lt;Setup!$B$7),"",SUMIFS(Daily!$H$7:$H$206,Daily!$C$7:$C$206,A77,Daily!$B$7:$B$206,Setup!$B$4,Daily!$I$7:$I$206,"Accepted",Daily!$P$7:$P$206,"Recorded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7" s="29" t="str">
        <x:f>IF(A77="","",WBS!I77)</x:f>
      </x:c>
      <x:c r="G77" s="29" t="str">
        <x:f>IF(A77="","",WBS!E77)</x:f>
      </x:c>
      <x:c r="H77" s="30" t="str">
        <x:f>IF(A77="","",WBS!J77)</x:f>
      </x:c>
    </x:row>
    <x:row r="78">
      <x:c r="A78" t="str">
        <x:f>IF(WBS!A78="","",WBS!A78)</x:f>
      </x:c>
      <x:c r="B78" t="str">
        <x:f>IF(A78="","",WBS!C78)</x:f>
      </x:c>
      <x:c r="C78" t="str">
        <x:f>IF(A78="","",WBS!D78)</x:f>
      </x:c>
      <x:c r="D78" s="29" t="str">
        <x:f>IF(OR(A78="",Setup!$B$7="",Setup!$B$8="",Setup!$B$8&lt;Setup!$B$7),"",SUMIFS(Daily!$G$7:$G$206,Daily!$Q$7:$Q$206,"Matched",Daily!$P$7:$P$206,"&lt;&gt;Duplicate event ID",Daily!$G$7:$G$206,"&gt;=0",Daily!$C$7:$C$206,A78,Daily!$B$7:$B$206,Setup!$B$4,Daily!$D$7:$D$206,"&gt;="&amp;Setup!$B$7,Daily!$D$7:$D$206,"&lt;="&amp;Setup!$B$8))</x:f>
      </x:c>
      <x:c r="E78" s="29" t="str">
        <x:f>IF(OR(A78="",Setup!$B$7="",Setup!$B$8="",Setup!$B$8&lt;Setup!$B$7),"",SUMIFS(Daily!$H$7:$H$206,Daily!$C$7:$C$206,A78,Daily!$B$7:$B$206,Setup!$B$4,Daily!$I$7:$I$206,"Accepted",Daily!$P$7:$P$206,"Recorded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8" s="29" t="str">
        <x:f>IF(A78="","",WBS!I78)</x:f>
      </x:c>
      <x:c r="G78" s="29" t="str">
        <x:f>IF(A78="","",WBS!E78)</x:f>
      </x:c>
      <x:c r="H78" s="30" t="str">
        <x:f>IF(A78="","",WBS!J78)</x:f>
      </x:c>
    </x:row>
    <x:row r="79">
      <x:c r="A79" t="str">
        <x:f>IF(WBS!A79="","",WBS!A79)</x:f>
      </x:c>
      <x:c r="B79" t="str">
        <x:f>IF(A79="","",WBS!C79)</x:f>
      </x:c>
      <x:c r="C79" t="str">
        <x:f>IF(A79="","",WBS!D79)</x:f>
      </x:c>
      <x:c r="D79" s="29" t="str">
        <x:f>IF(OR(A79="",Setup!$B$7="",Setup!$B$8="",Setup!$B$8&lt;Setup!$B$7),"",SUMIFS(Daily!$G$7:$G$206,Daily!$Q$7:$Q$206,"Matched",Daily!$P$7:$P$206,"&lt;&gt;Duplicate event ID",Daily!$G$7:$G$206,"&gt;=0",Daily!$C$7:$C$206,A79,Daily!$B$7:$B$206,Setup!$B$4,Daily!$D$7:$D$206,"&gt;="&amp;Setup!$B$7,Daily!$D$7:$D$206,"&lt;="&amp;Setup!$B$8))</x:f>
      </x:c>
      <x:c r="E79" s="29" t="str">
        <x:f>IF(OR(A79="",Setup!$B$7="",Setup!$B$8="",Setup!$B$8&lt;Setup!$B$7),"",SUMIFS(Daily!$H$7:$H$206,Daily!$C$7:$C$206,A79,Daily!$B$7:$B$206,Setup!$B$4,Daily!$I$7:$I$206,"Accepted",Daily!$P$7:$P$206,"Recorded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9" s="29" t="str">
        <x:f>IF(A79="","",WBS!I79)</x:f>
      </x:c>
      <x:c r="G79" s="29" t="str">
        <x:f>IF(A79="","",WBS!E79)</x:f>
      </x:c>
      <x:c r="H79" s="30" t="str">
        <x:f>IF(A79="","",WBS!J79)</x:f>
      </x:c>
    </x:row>
    <x:row r="80">
      <x:c r="A80" t="str">
        <x:f>IF(WBS!A80="","",WBS!A80)</x:f>
      </x:c>
      <x:c r="B80" t="str">
        <x:f>IF(A80="","",WBS!C80)</x:f>
      </x:c>
      <x:c r="C80" t="str">
        <x:f>IF(A80="","",WBS!D80)</x:f>
      </x:c>
      <x:c r="D80" s="29" t="str">
        <x:f>IF(OR(A80="",Setup!$B$7="",Setup!$B$8="",Setup!$B$8&lt;Setup!$B$7),"",SUMIFS(Daily!$G$7:$G$206,Daily!$Q$7:$Q$206,"Matched",Daily!$P$7:$P$206,"&lt;&gt;Duplicate event ID",Daily!$G$7:$G$206,"&gt;=0",Daily!$C$7:$C$206,A80,Daily!$B$7:$B$206,Setup!$B$4,Daily!$D$7:$D$206,"&gt;="&amp;Setup!$B$7,Daily!$D$7:$D$206,"&lt;="&amp;Setup!$B$8))</x:f>
      </x:c>
      <x:c r="E80" s="29" t="str">
        <x:f>IF(OR(A80="",Setup!$B$7="",Setup!$B$8="",Setup!$B$8&lt;Setup!$B$7),"",SUMIFS(Daily!$H$7:$H$206,Daily!$C$7:$C$206,A80,Daily!$B$7:$B$206,Setup!$B$4,Daily!$I$7:$I$206,"Accepted",Daily!$P$7:$P$206,"Recorded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0" s="29" t="str">
        <x:f>IF(A80="","",WBS!I80)</x:f>
      </x:c>
      <x:c r="G80" s="29" t="str">
        <x:f>IF(A80="","",WBS!E80)</x:f>
      </x:c>
      <x:c r="H80" s="30" t="str">
        <x:f>IF(A80="","",WBS!J80)</x:f>
      </x:c>
    </x:row>
    <x:row r="81">
      <x:c r="A81" t="str">
        <x:f>IF(WBS!A81="","",WBS!A81)</x:f>
      </x:c>
      <x:c r="B81" t="str">
        <x:f>IF(A81="","",WBS!C81)</x:f>
      </x:c>
      <x:c r="C81" t="str">
        <x:f>IF(A81="","",WBS!D81)</x:f>
      </x:c>
      <x:c r="D81" s="29" t="str">
        <x:f>IF(OR(A81="",Setup!$B$7="",Setup!$B$8="",Setup!$B$8&lt;Setup!$B$7),"",SUMIFS(Daily!$G$7:$G$206,Daily!$Q$7:$Q$206,"Matched",Daily!$P$7:$P$206,"&lt;&gt;Duplicate event ID",Daily!$G$7:$G$206,"&gt;=0",Daily!$C$7:$C$206,A81,Daily!$B$7:$B$206,Setup!$B$4,Daily!$D$7:$D$206,"&gt;="&amp;Setup!$B$7,Daily!$D$7:$D$206,"&lt;="&amp;Setup!$B$8))</x:f>
      </x:c>
      <x:c r="E81" s="29" t="str">
        <x:f>IF(OR(A81="",Setup!$B$7="",Setup!$B$8="",Setup!$B$8&lt;Setup!$B$7),"",SUMIFS(Daily!$H$7:$H$206,Daily!$C$7:$C$206,A81,Daily!$B$7:$B$206,Setup!$B$4,Daily!$I$7:$I$206,"Accepted",Daily!$P$7:$P$206,"Recorded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1" s="29" t="str">
        <x:f>IF(A81="","",WBS!I81)</x:f>
      </x:c>
      <x:c r="G81" s="29" t="str">
        <x:f>IF(A81="","",WBS!E81)</x:f>
      </x:c>
      <x:c r="H81" s="30" t="str">
        <x:f>IF(A81="","",WBS!J81)</x:f>
      </x:c>
    </x:row>
    <x:row r="82">
      <x:c r="A82" t="str">
        <x:f>IF(WBS!A82="","",WBS!A82)</x:f>
      </x:c>
      <x:c r="B82" t="str">
        <x:f>IF(A82="","",WBS!C82)</x:f>
      </x:c>
      <x:c r="C82" t="str">
        <x:f>IF(A82="","",WBS!D82)</x:f>
      </x:c>
      <x:c r="D82" s="29" t="str">
        <x:f>IF(OR(A82="",Setup!$B$7="",Setup!$B$8="",Setup!$B$8&lt;Setup!$B$7),"",SUMIFS(Daily!$G$7:$G$206,Daily!$Q$7:$Q$206,"Matched",Daily!$P$7:$P$206,"&lt;&gt;Duplicate event ID",Daily!$G$7:$G$206,"&gt;=0",Daily!$C$7:$C$206,A82,Daily!$B$7:$B$206,Setup!$B$4,Daily!$D$7:$D$206,"&gt;="&amp;Setup!$B$7,Daily!$D$7:$D$206,"&lt;="&amp;Setup!$B$8))</x:f>
      </x:c>
      <x:c r="E82" s="29" t="str">
        <x:f>IF(OR(A82="",Setup!$B$7="",Setup!$B$8="",Setup!$B$8&lt;Setup!$B$7),"",SUMIFS(Daily!$H$7:$H$206,Daily!$C$7:$C$206,A82,Daily!$B$7:$B$206,Setup!$B$4,Daily!$I$7:$I$206,"Accepted",Daily!$P$7:$P$206,"Recorded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2" s="29" t="str">
        <x:f>IF(A82="","",WBS!I82)</x:f>
      </x:c>
      <x:c r="G82" s="29" t="str">
        <x:f>IF(A82="","",WBS!E82)</x:f>
      </x:c>
      <x:c r="H82" s="30" t="str">
        <x:f>IF(A82="","",WBS!J82)</x:f>
      </x:c>
    </x:row>
    <x:row r="83">
      <x:c r="A83" t="str">
        <x:f>IF(WBS!A83="","",WBS!A83)</x:f>
      </x:c>
      <x:c r="B83" t="str">
        <x:f>IF(A83="","",WBS!C83)</x:f>
      </x:c>
      <x:c r="C83" t="str">
        <x:f>IF(A83="","",WBS!D83)</x:f>
      </x:c>
      <x:c r="D83" s="29" t="str">
        <x:f>IF(OR(A83="",Setup!$B$7="",Setup!$B$8="",Setup!$B$8&lt;Setup!$B$7),"",SUMIFS(Daily!$G$7:$G$206,Daily!$Q$7:$Q$206,"Matched",Daily!$P$7:$P$206,"&lt;&gt;Duplicate event ID",Daily!$G$7:$G$206,"&gt;=0",Daily!$C$7:$C$206,A83,Daily!$B$7:$B$206,Setup!$B$4,Daily!$D$7:$D$206,"&gt;="&amp;Setup!$B$7,Daily!$D$7:$D$206,"&lt;="&amp;Setup!$B$8))</x:f>
      </x:c>
      <x:c r="E83" s="29" t="str">
        <x:f>IF(OR(A83="",Setup!$B$7="",Setup!$B$8="",Setup!$B$8&lt;Setup!$B$7),"",SUMIFS(Daily!$H$7:$H$206,Daily!$C$7:$C$206,A83,Daily!$B$7:$B$206,Setup!$B$4,Daily!$I$7:$I$206,"Accepted",Daily!$P$7:$P$206,"Recorded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3" s="29" t="str">
        <x:f>IF(A83="","",WBS!I83)</x:f>
      </x:c>
      <x:c r="G83" s="29" t="str">
        <x:f>IF(A83="","",WBS!E83)</x:f>
      </x:c>
      <x:c r="H83" s="30" t="str">
        <x:f>IF(A83="","",WBS!J83)</x:f>
      </x:c>
    </x:row>
    <x:row r="84">
      <x:c r="A84" t="str">
        <x:f>IF(WBS!A84="","",WBS!A84)</x:f>
      </x:c>
      <x:c r="B84" t="str">
        <x:f>IF(A84="","",WBS!C84)</x:f>
      </x:c>
      <x:c r="C84" t="str">
        <x:f>IF(A84="","",WBS!D84)</x:f>
      </x:c>
      <x:c r="D84" s="29" t="str">
        <x:f>IF(OR(A84="",Setup!$B$7="",Setup!$B$8="",Setup!$B$8&lt;Setup!$B$7),"",SUMIFS(Daily!$G$7:$G$206,Daily!$Q$7:$Q$206,"Matched",Daily!$P$7:$P$206,"&lt;&gt;Duplicate event ID",Daily!$G$7:$G$206,"&gt;=0",Daily!$C$7:$C$206,A84,Daily!$B$7:$B$206,Setup!$B$4,Daily!$D$7:$D$206,"&gt;="&amp;Setup!$B$7,Daily!$D$7:$D$206,"&lt;="&amp;Setup!$B$8))</x:f>
      </x:c>
      <x:c r="E84" s="29" t="str">
        <x:f>IF(OR(A84="",Setup!$B$7="",Setup!$B$8="",Setup!$B$8&lt;Setup!$B$7),"",SUMIFS(Daily!$H$7:$H$206,Daily!$C$7:$C$206,A84,Daily!$B$7:$B$206,Setup!$B$4,Daily!$I$7:$I$206,"Accepted",Daily!$P$7:$P$206,"Recorded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4" s="29" t="str">
        <x:f>IF(A84="","",WBS!I84)</x:f>
      </x:c>
      <x:c r="G84" s="29" t="str">
        <x:f>IF(A84="","",WBS!E84)</x:f>
      </x:c>
      <x:c r="H84" s="30" t="str">
        <x:f>IF(A84="","",WBS!J84)</x:f>
      </x:c>
    </x:row>
    <x:row r="85">
      <x:c r="A85" t="str">
        <x:f>IF(WBS!A85="","",WBS!A85)</x:f>
      </x:c>
      <x:c r="B85" t="str">
        <x:f>IF(A85="","",WBS!C85)</x:f>
      </x:c>
      <x:c r="C85" t="str">
        <x:f>IF(A85="","",WBS!D85)</x:f>
      </x:c>
      <x:c r="D85" s="29" t="str">
        <x:f>IF(OR(A85="",Setup!$B$7="",Setup!$B$8="",Setup!$B$8&lt;Setup!$B$7),"",SUMIFS(Daily!$G$7:$G$206,Daily!$Q$7:$Q$206,"Matched",Daily!$P$7:$P$206,"&lt;&gt;Duplicate event ID",Daily!$G$7:$G$206,"&gt;=0",Daily!$C$7:$C$206,A85,Daily!$B$7:$B$206,Setup!$B$4,Daily!$D$7:$D$206,"&gt;="&amp;Setup!$B$7,Daily!$D$7:$D$206,"&lt;="&amp;Setup!$B$8))</x:f>
      </x:c>
      <x:c r="E85" s="29" t="str">
        <x:f>IF(OR(A85="",Setup!$B$7="",Setup!$B$8="",Setup!$B$8&lt;Setup!$B$7),"",SUMIFS(Daily!$H$7:$H$206,Daily!$C$7:$C$206,A85,Daily!$B$7:$B$206,Setup!$B$4,Daily!$I$7:$I$206,"Accepted",Daily!$P$7:$P$206,"Recorded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5" s="29" t="str">
        <x:f>IF(A85="","",WBS!I85)</x:f>
      </x:c>
      <x:c r="G85" s="29" t="str">
        <x:f>IF(A85="","",WBS!E85)</x:f>
      </x:c>
      <x:c r="H85" s="30" t="str">
        <x:f>IF(A85="","",WBS!J85)</x:f>
      </x:c>
    </x:row>
    <x:row r="86">
      <x:c r="A86" t="str">
        <x:f>IF(WBS!A86="","",WBS!A86)</x:f>
      </x:c>
      <x:c r="B86" t="str">
        <x:f>IF(A86="","",WBS!C86)</x:f>
      </x:c>
      <x:c r="C86" t="str">
        <x:f>IF(A86="","",WBS!D86)</x:f>
      </x:c>
      <x:c r="D86" s="29" t="str">
        <x:f>IF(OR(A86="",Setup!$B$7="",Setup!$B$8="",Setup!$B$8&lt;Setup!$B$7),"",SUMIFS(Daily!$G$7:$G$206,Daily!$Q$7:$Q$206,"Matched",Daily!$P$7:$P$206,"&lt;&gt;Duplicate event ID",Daily!$G$7:$G$206,"&gt;=0",Daily!$C$7:$C$206,A86,Daily!$B$7:$B$206,Setup!$B$4,Daily!$D$7:$D$206,"&gt;="&amp;Setup!$B$7,Daily!$D$7:$D$206,"&lt;="&amp;Setup!$B$8))</x:f>
      </x:c>
      <x:c r="E86" s="29" t="str">
        <x:f>IF(OR(A86="",Setup!$B$7="",Setup!$B$8="",Setup!$B$8&lt;Setup!$B$7),"",SUMIFS(Daily!$H$7:$H$206,Daily!$C$7:$C$206,A86,Daily!$B$7:$B$206,Setup!$B$4,Daily!$I$7:$I$206,"Accepted",Daily!$P$7:$P$206,"Recorded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6" s="29" t="str">
        <x:f>IF(A86="","",WBS!I86)</x:f>
      </x:c>
      <x:c r="G86" s="29" t="str">
        <x:f>IF(A86="","",WBS!E86)</x:f>
      </x:c>
      <x:c r="H86" s="30" t="str">
        <x:f>IF(A86="","",WBS!J86)</x:f>
      </x:c>
    </x:row>
    <x:row r="87">
      <x:c r="A87" t="str">
        <x:f>IF(WBS!A87="","",WBS!A87)</x:f>
      </x:c>
      <x:c r="B87" t="str">
        <x:f>IF(A87="","",WBS!C87)</x:f>
      </x:c>
      <x:c r="C87" t="str">
        <x:f>IF(A87="","",WBS!D87)</x:f>
      </x:c>
      <x:c r="D87" s="29" t="str">
        <x:f>IF(OR(A87="",Setup!$B$7="",Setup!$B$8="",Setup!$B$8&lt;Setup!$B$7),"",SUMIFS(Daily!$G$7:$G$206,Daily!$Q$7:$Q$206,"Matched",Daily!$P$7:$P$206,"&lt;&gt;Duplicate event ID",Daily!$G$7:$G$206,"&gt;=0",Daily!$C$7:$C$206,A87,Daily!$B$7:$B$206,Setup!$B$4,Daily!$D$7:$D$206,"&gt;="&amp;Setup!$B$7,Daily!$D$7:$D$206,"&lt;="&amp;Setup!$B$8))</x:f>
      </x:c>
      <x:c r="E87" s="29" t="str">
        <x:f>IF(OR(A87="",Setup!$B$7="",Setup!$B$8="",Setup!$B$8&lt;Setup!$B$7),"",SUMIFS(Daily!$H$7:$H$206,Daily!$C$7:$C$206,A87,Daily!$B$7:$B$206,Setup!$B$4,Daily!$I$7:$I$206,"Accepted",Daily!$P$7:$P$206,"Recorded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7" s="29" t="str">
        <x:f>IF(A87="","",WBS!I87)</x:f>
      </x:c>
      <x:c r="G87" s="29" t="str">
        <x:f>IF(A87="","",WBS!E87)</x:f>
      </x:c>
      <x:c r="H87" s="30" t="str">
        <x:f>IF(A87="","",WBS!J87)</x:f>
      </x:c>
    </x:row>
    <x:row r="88">
      <x:c r="A88" t="str">
        <x:f>IF(WBS!A88="","",WBS!A88)</x:f>
      </x:c>
      <x:c r="B88" t="str">
        <x:f>IF(A88="","",WBS!C88)</x:f>
      </x:c>
      <x:c r="C88" t="str">
        <x:f>IF(A88="","",WBS!D88)</x:f>
      </x:c>
      <x:c r="D88" s="29" t="str">
        <x:f>IF(OR(A88="",Setup!$B$7="",Setup!$B$8="",Setup!$B$8&lt;Setup!$B$7),"",SUMIFS(Daily!$G$7:$G$206,Daily!$Q$7:$Q$206,"Matched",Daily!$P$7:$P$206,"&lt;&gt;Duplicate event ID",Daily!$G$7:$G$206,"&gt;=0",Daily!$C$7:$C$206,A88,Daily!$B$7:$B$206,Setup!$B$4,Daily!$D$7:$D$206,"&gt;="&amp;Setup!$B$7,Daily!$D$7:$D$206,"&lt;="&amp;Setup!$B$8))</x:f>
      </x:c>
      <x:c r="E88" s="29" t="str">
        <x:f>IF(OR(A88="",Setup!$B$7="",Setup!$B$8="",Setup!$B$8&lt;Setup!$B$7),"",SUMIFS(Daily!$H$7:$H$206,Daily!$C$7:$C$206,A88,Daily!$B$7:$B$206,Setup!$B$4,Daily!$I$7:$I$206,"Accepted",Daily!$P$7:$P$206,"Recorded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8" s="29" t="str">
        <x:f>IF(A88="","",WBS!I88)</x:f>
      </x:c>
      <x:c r="G88" s="29" t="str">
        <x:f>IF(A88="","",WBS!E88)</x:f>
      </x:c>
      <x:c r="H88" s="30" t="str">
        <x:f>IF(A88="","",WBS!J88)</x:f>
      </x:c>
    </x:row>
    <x:row r="89">
      <x:c r="A89" t="str">
        <x:f>IF(WBS!A89="","",WBS!A89)</x:f>
      </x:c>
      <x:c r="B89" t="str">
        <x:f>IF(A89="","",WBS!C89)</x:f>
      </x:c>
      <x:c r="C89" t="str">
        <x:f>IF(A89="","",WBS!D89)</x:f>
      </x:c>
      <x:c r="D89" s="29" t="str">
        <x:f>IF(OR(A89="",Setup!$B$7="",Setup!$B$8="",Setup!$B$8&lt;Setup!$B$7),"",SUMIFS(Daily!$G$7:$G$206,Daily!$Q$7:$Q$206,"Matched",Daily!$P$7:$P$206,"&lt;&gt;Duplicate event ID",Daily!$G$7:$G$206,"&gt;=0",Daily!$C$7:$C$206,A89,Daily!$B$7:$B$206,Setup!$B$4,Daily!$D$7:$D$206,"&gt;="&amp;Setup!$B$7,Daily!$D$7:$D$206,"&lt;="&amp;Setup!$B$8))</x:f>
      </x:c>
      <x:c r="E89" s="29" t="str">
        <x:f>IF(OR(A89="",Setup!$B$7="",Setup!$B$8="",Setup!$B$8&lt;Setup!$B$7),"",SUMIFS(Daily!$H$7:$H$206,Daily!$C$7:$C$206,A89,Daily!$B$7:$B$206,Setup!$B$4,Daily!$I$7:$I$206,"Accepted",Daily!$P$7:$P$206,"Recorded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9" s="29" t="str">
        <x:f>IF(A89="","",WBS!I89)</x:f>
      </x:c>
      <x:c r="G89" s="29" t="str">
        <x:f>IF(A89="","",WBS!E89)</x:f>
      </x:c>
      <x:c r="H89" s="30" t="str">
        <x:f>IF(A89="","",WBS!J89)</x:f>
      </x:c>
    </x:row>
    <x:row r="90">
      <x:c r="A90" t="str">
        <x:f>IF(WBS!A90="","",WBS!A90)</x:f>
      </x:c>
      <x:c r="B90" t="str">
        <x:f>IF(A90="","",WBS!C90)</x:f>
      </x:c>
      <x:c r="C90" t="str">
        <x:f>IF(A90="","",WBS!D90)</x:f>
      </x:c>
      <x:c r="D90" s="29" t="str">
        <x:f>IF(OR(A90="",Setup!$B$7="",Setup!$B$8="",Setup!$B$8&lt;Setup!$B$7),"",SUMIFS(Daily!$G$7:$G$206,Daily!$Q$7:$Q$206,"Matched",Daily!$P$7:$P$206,"&lt;&gt;Duplicate event ID",Daily!$G$7:$G$206,"&gt;=0",Daily!$C$7:$C$206,A90,Daily!$B$7:$B$206,Setup!$B$4,Daily!$D$7:$D$206,"&gt;="&amp;Setup!$B$7,Daily!$D$7:$D$206,"&lt;="&amp;Setup!$B$8))</x:f>
      </x:c>
      <x:c r="E90" s="29" t="str">
        <x:f>IF(OR(A90="",Setup!$B$7="",Setup!$B$8="",Setup!$B$8&lt;Setup!$B$7),"",SUMIFS(Daily!$H$7:$H$206,Daily!$C$7:$C$206,A90,Daily!$B$7:$B$206,Setup!$B$4,Daily!$I$7:$I$206,"Accepted",Daily!$P$7:$P$206,"Recorded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0" s="29" t="str">
        <x:f>IF(A90="","",WBS!I90)</x:f>
      </x:c>
      <x:c r="G90" s="29" t="str">
        <x:f>IF(A90="","",WBS!E90)</x:f>
      </x:c>
      <x:c r="H90" s="30" t="str">
        <x:f>IF(A90="","",WBS!J90)</x:f>
      </x:c>
    </x:row>
    <x:row r="91">
      <x:c r="A91" t="str">
        <x:f>IF(WBS!A91="","",WBS!A91)</x:f>
      </x:c>
      <x:c r="B91" t="str">
        <x:f>IF(A91="","",WBS!C91)</x:f>
      </x:c>
      <x:c r="C91" t="str">
        <x:f>IF(A91="","",WBS!D91)</x:f>
      </x:c>
      <x:c r="D91" s="29" t="str">
        <x:f>IF(OR(A91="",Setup!$B$7="",Setup!$B$8="",Setup!$B$8&lt;Setup!$B$7),"",SUMIFS(Daily!$G$7:$G$206,Daily!$Q$7:$Q$206,"Matched",Daily!$P$7:$P$206,"&lt;&gt;Duplicate event ID",Daily!$G$7:$G$206,"&gt;=0",Daily!$C$7:$C$206,A91,Daily!$B$7:$B$206,Setup!$B$4,Daily!$D$7:$D$206,"&gt;="&amp;Setup!$B$7,Daily!$D$7:$D$206,"&lt;="&amp;Setup!$B$8))</x:f>
      </x:c>
      <x:c r="E91" s="29" t="str">
        <x:f>IF(OR(A91="",Setup!$B$7="",Setup!$B$8="",Setup!$B$8&lt;Setup!$B$7),"",SUMIFS(Daily!$H$7:$H$206,Daily!$C$7:$C$206,A91,Daily!$B$7:$B$206,Setup!$B$4,Daily!$I$7:$I$206,"Accepted",Daily!$P$7:$P$206,"Recorded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1" s="29" t="str">
        <x:f>IF(A91="","",WBS!I91)</x:f>
      </x:c>
      <x:c r="G91" s="29" t="str">
        <x:f>IF(A91="","",WBS!E91)</x:f>
      </x:c>
      <x:c r="H91" s="30" t="str">
        <x:f>IF(A91="","",WBS!J91)</x:f>
      </x:c>
    </x:row>
    <x:row r="92">
      <x:c r="A92" t="str">
        <x:f>IF(WBS!A92="","",WBS!A92)</x:f>
      </x:c>
      <x:c r="B92" t="str">
        <x:f>IF(A92="","",WBS!C92)</x:f>
      </x:c>
      <x:c r="C92" t="str">
        <x:f>IF(A92="","",WBS!D92)</x:f>
      </x:c>
      <x:c r="D92" s="29" t="str">
        <x:f>IF(OR(A92="",Setup!$B$7="",Setup!$B$8="",Setup!$B$8&lt;Setup!$B$7),"",SUMIFS(Daily!$G$7:$G$206,Daily!$Q$7:$Q$206,"Matched",Daily!$P$7:$P$206,"&lt;&gt;Duplicate event ID",Daily!$G$7:$G$206,"&gt;=0",Daily!$C$7:$C$206,A92,Daily!$B$7:$B$206,Setup!$B$4,Daily!$D$7:$D$206,"&gt;="&amp;Setup!$B$7,Daily!$D$7:$D$206,"&lt;="&amp;Setup!$B$8))</x:f>
      </x:c>
      <x:c r="E92" s="29" t="str">
        <x:f>IF(OR(A92="",Setup!$B$7="",Setup!$B$8="",Setup!$B$8&lt;Setup!$B$7),"",SUMIFS(Daily!$H$7:$H$206,Daily!$C$7:$C$206,A92,Daily!$B$7:$B$206,Setup!$B$4,Daily!$I$7:$I$206,"Accepted",Daily!$P$7:$P$206,"Recorded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2" s="29" t="str">
        <x:f>IF(A92="","",WBS!I92)</x:f>
      </x:c>
      <x:c r="G92" s="29" t="str">
        <x:f>IF(A92="","",WBS!E92)</x:f>
      </x:c>
      <x:c r="H92" s="30" t="str">
        <x:f>IF(A92="","",WBS!J92)</x:f>
      </x:c>
    </x:row>
    <x:row r="93">
      <x:c r="A93" t="str">
        <x:f>IF(WBS!A93="","",WBS!A93)</x:f>
      </x:c>
      <x:c r="B93" t="str">
        <x:f>IF(A93="","",WBS!C93)</x:f>
      </x:c>
      <x:c r="C93" t="str">
        <x:f>IF(A93="","",WBS!D93)</x:f>
      </x:c>
      <x:c r="D93" s="29" t="str">
        <x:f>IF(OR(A93="",Setup!$B$7="",Setup!$B$8="",Setup!$B$8&lt;Setup!$B$7),"",SUMIFS(Daily!$G$7:$G$206,Daily!$Q$7:$Q$206,"Matched",Daily!$P$7:$P$206,"&lt;&gt;Duplicate event ID",Daily!$G$7:$G$206,"&gt;=0",Daily!$C$7:$C$206,A93,Daily!$B$7:$B$206,Setup!$B$4,Daily!$D$7:$D$206,"&gt;="&amp;Setup!$B$7,Daily!$D$7:$D$206,"&lt;="&amp;Setup!$B$8))</x:f>
      </x:c>
      <x:c r="E93" s="29" t="str">
        <x:f>IF(OR(A93="",Setup!$B$7="",Setup!$B$8="",Setup!$B$8&lt;Setup!$B$7),"",SUMIFS(Daily!$H$7:$H$206,Daily!$C$7:$C$206,A93,Daily!$B$7:$B$206,Setup!$B$4,Daily!$I$7:$I$206,"Accepted",Daily!$P$7:$P$206,"Recorded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3" s="29" t="str">
        <x:f>IF(A93="","",WBS!I93)</x:f>
      </x:c>
      <x:c r="G93" s="29" t="str">
        <x:f>IF(A93="","",WBS!E93)</x:f>
      </x:c>
      <x:c r="H93" s="30" t="str">
        <x:f>IF(A93="","",WBS!J93)</x:f>
      </x:c>
    </x:row>
    <x:row r="94">
      <x:c r="A94" t="str">
        <x:f>IF(WBS!A94="","",WBS!A94)</x:f>
      </x:c>
      <x:c r="B94" t="str">
        <x:f>IF(A94="","",WBS!C94)</x:f>
      </x:c>
      <x:c r="C94" t="str">
        <x:f>IF(A94="","",WBS!D94)</x:f>
      </x:c>
      <x:c r="D94" s="29" t="str">
        <x:f>IF(OR(A94="",Setup!$B$7="",Setup!$B$8="",Setup!$B$8&lt;Setup!$B$7),"",SUMIFS(Daily!$G$7:$G$206,Daily!$Q$7:$Q$206,"Matched",Daily!$P$7:$P$206,"&lt;&gt;Duplicate event ID",Daily!$G$7:$G$206,"&gt;=0",Daily!$C$7:$C$206,A94,Daily!$B$7:$B$206,Setup!$B$4,Daily!$D$7:$D$206,"&gt;="&amp;Setup!$B$7,Daily!$D$7:$D$206,"&lt;="&amp;Setup!$B$8))</x:f>
      </x:c>
      <x:c r="E94" s="29" t="str">
        <x:f>IF(OR(A94="",Setup!$B$7="",Setup!$B$8="",Setup!$B$8&lt;Setup!$B$7),"",SUMIFS(Daily!$H$7:$H$206,Daily!$C$7:$C$206,A94,Daily!$B$7:$B$206,Setup!$B$4,Daily!$I$7:$I$206,"Accepted",Daily!$P$7:$P$206,"Recorded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4" s="29" t="str">
        <x:f>IF(A94="","",WBS!I94)</x:f>
      </x:c>
      <x:c r="G94" s="29" t="str">
        <x:f>IF(A94="","",WBS!E94)</x:f>
      </x:c>
      <x:c r="H94" s="30" t="str">
        <x:f>IF(A94="","",WBS!J94)</x:f>
      </x:c>
    </x:row>
    <x:row r="95">
      <x:c r="A95" t="str">
        <x:f>IF(WBS!A95="","",WBS!A95)</x:f>
      </x:c>
      <x:c r="B95" t="str">
        <x:f>IF(A95="","",WBS!C95)</x:f>
      </x:c>
      <x:c r="C95" t="str">
        <x:f>IF(A95="","",WBS!D95)</x:f>
      </x:c>
      <x:c r="D95" s="29" t="str">
        <x:f>IF(OR(A95="",Setup!$B$7="",Setup!$B$8="",Setup!$B$8&lt;Setup!$B$7),"",SUMIFS(Daily!$G$7:$G$206,Daily!$Q$7:$Q$206,"Matched",Daily!$P$7:$P$206,"&lt;&gt;Duplicate event ID",Daily!$G$7:$G$206,"&gt;=0",Daily!$C$7:$C$206,A95,Daily!$B$7:$B$206,Setup!$B$4,Daily!$D$7:$D$206,"&gt;="&amp;Setup!$B$7,Daily!$D$7:$D$206,"&lt;="&amp;Setup!$B$8))</x:f>
      </x:c>
      <x:c r="E95" s="29" t="str">
        <x:f>IF(OR(A95="",Setup!$B$7="",Setup!$B$8="",Setup!$B$8&lt;Setup!$B$7),"",SUMIFS(Daily!$H$7:$H$206,Daily!$C$7:$C$206,A95,Daily!$B$7:$B$206,Setup!$B$4,Daily!$I$7:$I$206,"Accepted",Daily!$P$7:$P$206,"Recorded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5" s="29" t="str">
        <x:f>IF(A95="","",WBS!I95)</x:f>
      </x:c>
      <x:c r="G95" s="29" t="str">
        <x:f>IF(A95="","",WBS!E95)</x:f>
      </x:c>
      <x:c r="H95" s="30" t="str">
        <x:f>IF(A95="","",WBS!J95)</x:f>
      </x:c>
    </x:row>
    <x:row r="96">
      <x:c r="A96" t="str">
        <x:f>IF(WBS!A96="","",WBS!A96)</x:f>
      </x:c>
      <x:c r="B96" t="str">
        <x:f>IF(A96="","",WBS!C96)</x:f>
      </x:c>
      <x:c r="C96" t="str">
        <x:f>IF(A96="","",WBS!D96)</x:f>
      </x:c>
      <x:c r="D96" s="29" t="str">
        <x:f>IF(OR(A96="",Setup!$B$7="",Setup!$B$8="",Setup!$B$8&lt;Setup!$B$7),"",SUMIFS(Daily!$G$7:$G$206,Daily!$Q$7:$Q$206,"Matched",Daily!$P$7:$P$206,"&lt;&gt;Duplicate event ID",Daily!$G$7:$G$206,"&gt;=0",Daily!$C$7:$C$206,A96,Daily!$B$7:$B$206,Setup!$B$4,Daily!$D$7:$D$206,"&gt;="&amp;Setup!$B$7,Daily!$D$7:$D$206,"&lt;="&amp;Setup!$B$8))</x:f>
      </x:c>
      <x:c r="E96" s="29" t="str">
        <x:f>IF(OR(A96="",Setup!$B$7="",Setup!$B$8="",Setup!$B$8&lt;Setup!$B$7),"",SUMIFS(Daily!$H$7:$H$206,Daily!$C$7:$C$206,A96,Daily!$B$7:$B$206,Setup!$B$4,Daily!$I$7:$I$206,"Accepted",Daily!$P$7:$P$206,"Recorded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6" s="29" t="str">
        <x:f>IF(A96="","",WBS!I96)</x:f>
      </x:c>
      <x:c r="G96" s="29" t="str">
        <x:f>IF(A96="","",WBS!E96)</x:f>
      </x:c>
      <x:c r="H96" s="30" t="str">
        <x:f>IF(A96="","",WBS!J96)</x:f>
      </x:c>
    </x:row>
    <x:row r="97">
      <x:c r="A97" t="str">
        <x:f>IF(WBS!A97="","",WBS!A97)</x:f>
      </x:c>
      <x:c r="B97" t="str">
        <x:f>IF(A97="","",WBS!C97)</x:f>
      </x:c>
      <x:c r="C97" t="str">
        <x:f>IF(A97="","",WBS!D97)</x:f>
      </x:c>
      <x:c r="D97" s="29" t="str">
        <x:f>IF(OR(A97="",Setup!$B$7="",Setup!$B$8="",Setup!$B$8&lt;Setup!$B$7),"",SUMIFS(Daily!$G$7:$G$206,Daily!$Q$7:$Q$206,"Matched",Daily!$P$7:$P$206,"&lt;&gt;Duplicate event ID",Daily!$G$7:$G$206,"&gt;=0",Daily!$C$7:$C$206,A97,Daily!$B$7:$B$206,Setup!$B$4,Daily!$D$7:$D$206,"&gt;="&amp;Setup!$B$7,Daily!$D$7:$D$206,"&lt;="&amp;Setup!$B$8))</x:f>
      </x:c>
      <x:c r="E97" s="29" t="str">
        <x:f>IF(OR(A97="",Setup!$B$7="",Setup!$B$8="",Setup!$B$8&lt;Setup!$B$7),"",SUMIFS(Daily!$H$7:$H$206,Daily!$C$7:$C$206,A97,Daily!$B$7:$B$206,Setup!$B$4,Daily!$I$7:$I$206,"Accepted",Daily!$P$7:$P$206,"Recorded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7" s="29" t="str">
        <x:f>IF(A97="","",WBS!I97)</x:f>
      </x:c>
      <x:c r="G97" s="29" t="str">
        <x:f>IF(A97="","",WBS!E97)</x:f>
      </x:c>
      <x:c r="H97" s="30" t="str">
        <x:f>IF(A97="","",WBS!J97)</x:f>
      </x:c>
    </x:row>
    <x:row r="98">
      <x:c r="A98" t="str">
        <x:f>IF(WBS!A98="","",WBS!A98)</x:f>
      </x:c>
      <x:c r="B98" t="str">
        <x:f>IF(A98="","",WBS!C98)</x:f>
      </x:c>
      <x:c r="C98" t="str">
        <x:f>IF(A98="","",WBS!D98)</x:f>
      </x:c>
      <x:c r="D98" s="29" t="str">
        <x:f>IF(OR(A98="",Setup!$B$7="",Setup!$B$8="",Setup!$B$8&lt;Setup!$B$7),"",SUMIFS(Daily!$G$7:$G$206,Daily!$Q$7:$Q$206,"Matched",Daily!$P$7:$P$206,"&lt;&gt;Duplicate event ID",Daily!$G$7:$G$206,"&gt;=0",Daily!$C$7:$C$206,A98,Daily!$B$7:$B$206,Setup!$B$4,Daily!$D$7:$D$206,"&gt;="&amp;Setup!$B$7,Daily!$D$7:$D$206,"&lt;="&amp;Setup!$B$8))</x:f>
      </x:c>
      <x:c r="E98" s="29" t="str">
        <x:f>IF(OR(A98="",Setup!$B$7="",Setup!$B$8="",Setup!$B$8&lt;Setup!$B$7),"",SUMIFS(Daily!$H$7:$H$206,Daily!$C$7:$C$206,A98,Daily!$B$7:$B$206,Setup!$B$4,Daily!$I$7:$I$206,"Accepted",Daily!$P$7:$P$206,"Recorded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8" s="29" t="str">
        <x:f>IF(A98="","",WBS!I98)</x:f>
      </x:c>
      <x:c r="G98" s="29" t="str">
        <x:f>IF(A98="","",WBS!E98)</x:f>
      </x:c>
      <x:c r="H98" s="30" t="str">
        <x:f>IF(A98="","",WBS!J98)</x:f>
      </x:c>
    </x:row>
    <x:row r="99">
      <x:c r="A99" t="str">
        <x:f>IF(WBS!A99="","",WBS!A99)</x:f>
      </x:c>
      <x:c r="B99" t="str">
        <x:f>IF(A99="","",WBS!C99)</x:f>
      </x:c>
      <x:c r="C99" t="str">
        <x:f>IF(A99="","",WBS!D99)</x:f>
      </x:c>
      <x:c r="D99" s="29" t="str">
        <x:f>IF(OR(A99="",Setup!$B$7="",Setup!$B$8="",Setup!$B$8&lt;Setup!$B$7),"",SUMIFS(Daily!$G$7:$G$206,Daily!$Q$7:$Q$206,"Matched",Daily!$P$7:$P$206,"&lt;&gt;Duplicate event ID",Daily!$G$7:$G$206,"&gt;=0",Daily!$C$7:$C$206,A99,Daily!$B$7:$B$206,Setup!$B$4,Daily!$D$7:$D$206,"&gt;="&amp;Setup!$B$7,Daily!$D$7:$D$206,"&lt;="&amp;Setup!$B$8))</x:f>
      </x:c>
      <x:c r="E99" s="29" t="str">
        <x:f>IF(OR(A99="",Setup!$B$7="",Setup!$B$8="",Setup!$B$8&lt;Setup!$B$7),"",SUMIFS(Daily!$H$7:$H$206,Daily!$C$7:$C$206,A99,Daily!$B$7:$B$206,Setup!$B$4,Daily!$I$7:$I$206,"Accepted",Daily!$P$7:$P$206,"Recorded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9" s="29" t="str">
        <x:f>IF(A99="","",WBS!I99)</x:f>
      </x:c>
      <x:c r="G99" s="29" t="str">
        <x:f>IF(A99="","",WBS!E99)</x:f>
      </x:c>
      <x:c r="H99" s="30" t="str">
        <x:f>IF(A99="","",WBS!J99)</x:f>
      </x:c>
    </x:row>
    <x:row r="100">
      <x:c r="A100" t="str">
        <x:f>IF(WBS!A100="","",WBS!A100)</x:f>
      </x:c>
      <x:c r="B100" t="str">
        <x:f>IF(A100="","",WBS!C100)</x:f>
      </x:c>
      <x:c r="C100" t="str">
        <x:f>IF(A100="","",WBS!D100)</x:f>
      </x:c>
      <x:c r="D100" s="29" t="str">
        <x:f>IF(OR(A100="",Setup!$B$7="",Setup!$B$8="",Setup!$B$8&lt;Setup!$B$7),"",SUMIFS(Daily!$G$7:$G$206,Daily!$Q$7:$Q$206,"Matched",Daily!$P$7:$P$206,"&lt;&gt;Duplicate event ID",Daily!$G$7:$G$206,"&gt;=0",Daily!$C$7:$C$206,A100,Daily!$B$7:$B$206,Setup!$B$4,Daily!$D$7:$D$206,"&gt;="&amp;Setup!$B$7,Daily!$D$7:$D$206,"&lt;="&amp;Setup!$B$8))</x:f>
      </x:c>
      <x:c r="E100" s="29" t="str">
        <x:f>IF(OR(A100="",Setup!$B$7="",Setup!$B$8="",Setup!$B$8&lt;Setup!$B$7),"",SUMIFS(Daily!$H$7:$H$206,Daily!$C$7:$C$206,A100,Daily!$B$7:$B$206,Setup!$B$4,Daily!$I$7:$I$206,"Accepted",Daily!$P$7:$P$206,"Recorded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0" s="29" t="str">
        <x:f>IF(A100="","",WBS!I100)</x:f>
      </x:c>
      <x:c r="G100" s="29" t="str">
        <x:f>IF(A100="","",WBS!E100)</x:f>
      </x:c>
      <x:c r="H100" s="30" t="str">
        <x:f>IF(A100="","",WBS!J100)</x:f>
      </x:c>
    </x:row>
    <x:row r="101">
      <x:c r="A101" t="str">
        <x:f>IF(WBS!A101="","",WBS!A101)</x:f>
      </x:c>
      <x:c r="B101" t="str">
        <x:f>IF(A101="","",WBS!C101)</x:f>
      </x:c>
      <x:c r="C101" t="str">
        <x:f>IF(A101="","",WBS!D101)</x:f>
      </x:c>
      <x:c r="D101" s="29" t="str">
        <x:f>IF(OR(A101="",Setup!$B$7="",Setup!$B$8="",Setup!$B$8&lt;Setup!$B$7),"",SUMIFS(Daily!$G$7:$G$206,Daily!$Q$7:$Q$206,"Matched",Daily!$P$7:$P$206,"&lt;&gt;Duplicate event ID",Daily!$G$7:$G$206,"&gt;=0",Daily!$C$7:$C$206,A101,Daily!$B$7:$B$206,Setup!$B$4,Daily!$D$7:$D$206,"&gt;="&amp;Setup!$B$7,Daily!$D$7:$D$206,"&lt;="&amp;Setup!$B$8))</x:f>
      </x:c>
      <x:c r="E101" s="29" t="str">
        <x:f>IF(OR(A101="",Setup!$B$7="",Setup!$B$8="",Setup!$B$8&lt;Setup!$B$7),"",SUMIFS(Daily!$H$7:$H$206,Daily!$C$7:$C$206,A101,Daily!$B$7:$B$206,Setup!$B$4,Daily!$I$7:$I$206,"Accepted",Daily!$P$7:$P$206,"Recorded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1" s="29" t="str">
        <x:f>IF(A101="","",WBS!I101)</x:f>
      </x:c>
      <x:c r="G101" s="29" t="str">
        <x:f>IF(A101="","",WBS!E101)</x:f>
      </x:c>
      <x:c r="H101" s="30" t="str">
        <x:f>IF(A101="","",WBS!J101)</x:f>
      </x:c>
    </x:row>
    <x:row r="102">
      <x:c r="A102" t="str">
        <x:f>IF(WBS!A102="","",WBS!A102)</x:f>
      </x:c>
      <x:c r="B102" t="str">
        <x:f>IF(A102="","",WBS!C102)</x:f>
      </x:c>
      <x:c r="C102" t="str">
        <x:f>IF(A102="","",WBS!D102)</x:f>
      </x:c>
      <x:c r="D102" s="29" t="str">
        <x:f>IF(OR(A102="",Setup!$B$7="",Setup!$B$8="",Setup!$B$8&lt;Setup!$B$7),"",SUMIFS(Daily!$G$7:$G$206,Daily!$Q$7:$Q$206,"Matched",Daily!$P$7:$P$206,"&lt;&gt;Duplicate event ID",Daily!$G$7:$G$206,"&gt;=0",Daily!$C$7:$C$206,A102,Daily!$B$7:$B$206,Setup!$B$4,Daily!$D$7:$D$206,"&gt;="&amp;Setup!$B$7,Daily!$D$7:$D$206,"&lt;="&amp;Setup!$B$8))</x:f>
      </x:c>
      <x:c r="E102" s="29" t="str">
        <x:f>IF(OR(A102="",Setup!$B$7="",Setup!$B$8="",Setup!$B$8&lt;Setup!$B$7),"",SUMIFS(Daily!$H$7:$H$206,Daily!$C$7:$C$206,A102,Daily!$B$7:$B$206,Setup!$B$4,Daily!$I$7:$I$206,"Accepted",Daily!$P$7:$P$206,"Recorded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2" s="29" t="str">
        <x:f>IF(A102="","",WBS!I102)</x:f>
      </x:c>
      <x:c r="G102" s="29" t="str">
        <x:f>IF(A102="","",WBS!E102)</x:f>
      </x:c>
      <x:c r="H102" s="30" t="str">
        <x:f>IF(A102="","",WBS!J102)</x:f>
      </x:c>
    </x:row>
    <x:row r="103">
      <x:c r="A103" t="str">
        <x:f>IF(WBS!A103="","",WBS!A103)</x:f>
      </x:c>
      <x:c r="B103" t="str">
        <x:f>IF(A103="","",WBS!C103)</x:f>
      </x:c>
      <x:c r="C103" t="str">
        <x:f>IF(A103="","",WBS!D103)</x:f>
      </x:c>
      <x:c r="D103" s="29" t="str">
        <x:f>IF(OR(A103="",Setup!$B$7="",Setup!$B$8="",Setup!$B$8&lt;Setup!$B$7),"",SUMIFS(Daily!$G$7:$G$206,Daily!$Q$7:$Q$206,"Matched",Daily!$P$7:$P$206,"&lt;&gt;Duplicate event ID",Daily!$G$7:$G$206,"&gt;=0",Daily!$C$7:$C$206,A103,Daily!$B$7:$B$206,Setup!$B$4,Daily!$D$7:$D$206,"&gt;="&amp;Setup!$B$7,Daily!$D$7:$D$206,"&lt;="&amp;Setup!$B$8))</x:f>
      </x:c>
      <x:c r="E103" s="29" t="str">
        <x:f>IF(OR(A103="",Setup!$B$7="",Setup!$B$8="",Setup!$B$8&lt;Setup!$B$7),"",SUMIFS(Daily!$H$7:$H$206,Daily!$C$7:$C$206,A103,Daily!$B$7:$B$206,Setup!$B$4,Daily!$I$7:$I$206,"Accepted",Daily!$P$7:$P$206,"Recorded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3" s="29" t="str">
        <x:f>IF(A103="","",WBS!I103)</x:f>
      </x:c>
      <x:c r="G103" s="29" t="str">
        <x:f>IF(A103="","",WBS!E103)</x:f>
      </x:c>
      <x:c r="H103" s="30" t="str">
        <x:f>IF(A103="","",WBS!J103)</x:f>
      </x:c>
    </x:row>
    <x:row r="104">
      <x:c r="A104" t="str">
        <x:f>IF(WBS!A104="","",WBS!A104)</x:f>
      </x:c>
      <x:c r="B104" t="str">
        <x:f>IF(A104="","",WBS!C104)</x:f>
      </x:c>
      <x:c r="C104" t="str">
        <x:f>IF(A104="","",WBS!D104)</x:f>
      </x:c>
      <x:c r="D104" s="29" t="str">
        <x:f>IF(OR(A104="",Setup!$B$7="",Setup!$B$8="",Setup!$B$8&lt;Setup!$B$7),"",SUMIFS(Daily!$G$7:$G$206,Daily!$Q$7:$Q$206,"Matched",Daily!$P$7:$P$206,"&lt;&gt;Duplicate event ID",Daily!$G$7:$G$206,"&gt;=0",Daily!$C$7:$C$206,A104,Daily!$B$7:$B$206,Setup!$B$4,Daily!$D$7:$D$206,"&gt;="&amp;Setup!$B$7,Daily!$D$7:$D$206,"&lt;="&amp;Setup!$B$8))</x:f>
      </x:c>
      <x:c r="E104" s="29" t="str">
        <x:f>IF(OR(A104="",Setup!$B$7="",Setup!$B$8="",Setup!$B$8&lt;Setup!$B$7),"",SUMIFS(Daily!$H$7:$H$206,Daily!$C$7:$C$206,A104,Daily!$B$7:$B$206,Setup!$B$4,Daily!$I$7:$I$206,"Accepted",Daily!$P$7:$P$206,"Recorded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4" s="29" t="str">
        <x:f>IF(A104="","",WBS!I104)</x:f>
      </x:c>
      <x:c r="G104" s="29" t="str">
        <x:f>IF(A104="","",WBS!E104)</x:f>
      </x:c>
      <x:c r="H104" s="30" t="str">
        <x:f>IF(A104="","",WBS!J104)</x:f>
      </x:c>
    </x:row>
    <x:row r="105">
      <x:c r="A105" t="str">
        <x:f>IF(WBS!A105="","",WBS!A105)</x:f>
      </x:c>
      <x:c r="B105" t="str">
        <x:f>IF(A105="","",WBS!C105)</x:f>
      </x:c>
      <x:c r="C105" t="str">
        <x:f>IF(A105="","",WBS!D105)</x:f>
      </x:c>
      <x:c r="D105" s="29" t="str">
        <x:f>IF(OR(A105="",Setup!$B$7="",Setup!$B$8="",Setup!$B$8&lt;Setup!$B$7),"",SUMIFS(Daily!$G$7:$G$206,Daily!$Q$7:$Q$206,"Matched",Daily!$P$7:$P$206,"&lt;&gt;Duplicate event ID",Daily!$G$7:$G$206,"&gt;=0",Daily!$C$7:$C$206,A105,Daily!$B$7:$B$206,Setup!$B$4,Daily!$D$7:$D$206,"&gt;="&amp;Setup!$B$7,Daily!$D$7:$D$206,"&lt;="&amp;Setup!$B$8))</x:f>
      </x:c>
      <x:c r="E105" s="29" t="str">
        <x:f>IF(OR(A105="",Setup!$B$7="",Setup!$B$8="",Setup!$B$8&lt;Setup!$B$7),"",SUMIFS(Daily!$H$7:$H$206,Daily!$C$7:$C$206,A105,Daily!$B$7:$B$206,Setup!$B$4,Daily!$I$7:$I$206,"Accepted",Daily!$P$7:$P$206,"Recorded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5" s="29" t="str">
        <x:f>IF(A105="","",WBS!I105)</x:f>
      </x:c>
      <x:c r="G105" s="29" t="str">
        <x:f>IF(A105="","",WBS!E105)</x:f>
      </x:c>
      <x:c r="H105" s="30" t="str">
        <x:f>IF(A105="","",WBS!J105)</x:f>
      </x:c>
    </x:row>
    <x:row r="106">
      <x:c r="A106" t="str">
        <x:f>IF(WBS!A106="","",WBS!A106)</x:f>
      </x:c>
      <x:c r="B106" t="str">
        <x:f>IF(A106="","",WBS!C106)</x:f>
      </x:c>
      <x:c r="C106" t="str">
        <x:f>IF(A106="","",WBS!D106)</x:f>
      </x:c>
      <x:c r="D106" s="29" t="str">
        <x:f>IF(OR(A106="",Setup!$B$7="",Setup!$B$8="",Setup!$B$8&lt;Setup!$B$7),"",SUMIFS(Daily!$G$7:$G$206,Daily!$Q$7:$Q$206,"Matched",Daily!$P$7:$P$206,"&lt;&gt;Duplicate event ID",Daily!$G$7:$G$206,"&gt;=0",Daily!$C$7:$C$206,A106,Daily!$B$7:$B$206,Setup!$B$4,Daily!$D$7:$D$206,"&gt;="&amp;Setup!$B$7,Daily!$D$7:$D$206,"&lt;="&amp;Setup!$B$8))</x:f>
      </x:c>
      <x:c r="E106" s="29" t="str">
        <x:f>IF(OR(A106="",Setup!$B$7="",Setup!$B$8="",Setup!$B$8&lt;Setup!$B$7),"",SUMIFS(Daily!$H$7:$H$206,Daily!$C$7:$C$206,A106,Daily!$B$7:$B$206,Setup!$B$4,Daily!$I$7:$I$206,"Accepted",Daily!$P$7:$P$206,"Recorded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6" s="29" t="str">
        <x:f>IF(A106="","",WBS!I106)</x:f>
      </x:c>
      <x:c r="G106" s="29" t="str">
        <x:f>IF(A106="","",WBS!E106)</x:f>
      </x:c>
      <x:c r="H106" s="30" t="str">
        <x:f>IF(A106="","",WBS!J106)</x:f>
      </x:c>
    </x:row>
    <x:row r="107">
      <x:c r="A107" t="str">
        <x:f>IF(WBS!A107="","",WBS!A107)</x:f>
      </x:c>
      <x:c r="B107" t="str">
        <x:f>IF(A107="","",WBS!C107)</x:f>
      </x:c>
      <x:c r="C107" t="str">
        <x:f>IF(A107="","",WBS!D107)</x:f>
      </x:c>
      <x:c r="D107" s="29" t="str">
        <x:f>IF(OR(A107="",Setup!$B$7="",Setup!$B$8="",Setup!$B$8&lt;Setup!$B$7),"",SUMIFS(Daily!$G$7:$G$206,Daily!$Q$7:$Q$206,"Matched",Daily!$P$7:$P$206,"&lt;&gt;Duplicate event ID",Daily!$G$7:$G$206,"&gt;=0",Daily!$C$7:$C$206,A107,Daily!$B$7:$B$206,Setup!$B$4,Daily!$D$7:$D$206,"&gt;="&amp;Setup!$B$7,Daily!$D$7:$D$206,"&lt;="&amp;Setup!$B$8))</x:f>
      </x:c>
      <x:c r="E107" s="29" t="str">
        <x:f>IF(OR(A107="",Setup!$B$7="",Setup!$B$8="",Setup!$B$8&lt;Setup!$B$7),"",SUMIFS(Daily!$H$7:$H$206,Daily!$C$7:$C$206,A107,Daily!$B$7:$B$206,Setup!$B$4,Daily!$I$7:$I$206,"Accepted",Daily!$P$7:$P$206,"Recorded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7" s="29" t="str">
        <x:f>IF(A107="","",WBS!I107)</x:f>
      </x:c>
      <x:c r="G107" s="29" t="str">
        <x:f>IF(A107="","",WBS!E107)</x:f>
      </x:c>
      <x:c r="H107" s="30" t="str">
        <x:f>IF(A107="","",WBS!J107)</x:f>
      </x:c>
    </x:row>
    <x:row r="108">
      <x:c r="A108" t="str">
        <x:f>IF(WBS!A108="","",WBS!A108)</x:f>
      </x:c>
      <x:c r="B108" t="str">
        <x:f>IF(A108="","",WBS!C108)</x:f>
      </x:c>
      <x:c r="C108" t="str">
        <x:f>IF(A108="","",WBS!D108)</x:f>
      </x:c>
      <x:c r="D108" s="29" t="str">
        <x:f>IF(OR(A108="",Setup!$B$7="",Setup!$B$8="",Setup!$B$8&lt;Setup!$B$7),"",SUMIFS(Daily!$G$7:$G$206,Daily!$Q$7:$Q$206,"Matched",Daily!$P$7:$P$206,"&lt;&gt;Duplicate event ID",Daily!$G$7:$G$206,"&gt;=0",Daily!$C$7:$C$206,A108,Daily!$B$7:$B$206,Setup!$B$4,Daily!$D$7:$D$206,"&gt;="&amp;Setup!$B$7,Daily!$D$7:$D$206,"&lt;="&amp;Setup!$B$8))</x:f>
      </x:c>
      <x:c r="E108" s="29" t="str">
        <x:f>IF(OR(A108="",Setup!$B$7="",Setup!$B$8="",Setup!$B$8&lt;Setup!$B$7),"",SUMIFS(Daily!$H$7:$H$206,Daily!$C$7:$C$206,A108,Daily!$B$7:$B$206,Setup!$B$4,Daily!$I$7:$I$206,"Accepted",Daily!$P$7:$P$206,"Recorded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8" s="29" t="str">
        <x:f>IF(A108="","",WBS!I108)</x:f>
      </x:c>
      <x:c r="G108" s="29" t="str">
        <x:f>IF(A108="","",WBS!E108)</x:f>
      </x:c>
      <x:c r="H108" s="30" t="str">
        <x:f>IF(A108="","",WBS!J108)</x:f>
      </x:c>
    </x:row>
    <x:row r="109">
      <x:c r="A109" t="str">
        <x:f>IF(WBS!A109="","",WBS!A109)</x:f>
      </x:c>
      <x:c r="B109" t="str">
        <x:f>IF(A109="","",WBS!C109)</x:f>
      </x:c>
      <x:c r="C109" t="str">
        <x:f>IF(A109="","",WBS!D109)</x:f>
      </x:c>
      <x:c r="D109" s="29" t="str">
        <x:f>IF(OR(A109="",Setup!$B$7="",Setup!$B$8="",Setup!$B$8&lt;Setup!$B$7),"",SUMIFS(Daily!$G$7:$G$206,Daily!$Q$7:$Q$206,"Matched",Daily!$P$7:$P$206,"&lt;&gt;Duplicate event ID",Daily!$G$7:$G$206,"&gt;=0",Daily!$C$7:$C$206,A109,Daily!$B$7:$B$206,Setup!$B$4,Daily!$D$7:$D$206,"&gt;="&amp;Setup!$B$7,Daily!$D$7:$D$206,"&lt;="&amp;Setup!$B$8))</x:f>
      </x:c>
      <x:c r="E109" s="29" t="str">
        <x:f>IF(OR(A109="",Setup!$B$7="",Setup!$B$8="",Setup!$B$8&lt;Setup!$B$7),"",SUMIFS(Daily!$H$7:$H$206,Daily!$C$7:$C$206,A109,Daily!$B$7:$B$206,Setup!$B$4,Daily!$I$7:$I$206,"Accepted",Daily!$P$7:$P$206,"Recorded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9" s="29" t="str">
        <x:f>IF(A109="","",WBS!I109)</x:f>
      </x:c>
      <x:c r="G109" s="29" t="str">
        <x:f>IF(A109="","",WBS!E109)</x:f>
      </x:c>
      <x:c r="H109" s="30" t="str">
        <x:f>IF(A109="","",WBS!J109)</x:f>
      </x:c>
    </x:row>
    <x:row r="110">
      <x:c r="A110" t="str">
        <x:f>IF(WBS!A110="","",WBS!A110)</x:f>
      </x:c>
      <x:c r="B110" t="str">
        <x:f>IF(A110="","",WBS!C110)</x:f>
      </x:c>
      <x:c r="C110" t="str">
        <x:f>IF(A110="","",WBS!D110)</x:f>
      </x:c>
      <x:c r="D110" s="29" t="str">
        <x:f>IF(OR(A110="",Setup!$B$7="",Setup!$B$8="",Setup!$B$8&lt;Setup!$B$7),"",SUMIFS(Daily!$G$7:$G$206,Daily!$Q$7:$Q$206,"Matched",Daily!$P$7:$P$206,"&lt;&gt;Duplicate event ID",Daily!$G$7:$G$206,"&gt;=0",Daily!$C$7:$C$206,A110,Daily!$B$7:$B$206,Setup!$B$4,Daily!$D$7:$D$206,"&gt;="&amp;Setup!$B$7,Daily!$D$7:$D$206,"&lt;="&amp;Setup!$B$8))</x:f>
      </x:c>
      <x:c r="E110" s="29" t="str">
        <x:f>IF(OR(A110="",Setup!$B$7="",Setup!$B$8="",Setup!$B$8&lt;Setup!$B$7),"",SUMIFS(Daily!$H$7:$H$206,Daily!$C$7:$C$206,A110,Daily!$B$7:$B$206,Setup!$B$4,Daily!$I$7:$I$206,"Accepted",Daily!$P$7:$P$206,"Recorded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0" s="29" t="str">
        <x:f>IF(A110="","",WBS!I110)</x:f>
      </x:c>
      <x:c r="G110" s="29" t="str">
        <x:f>IF(A110="","",WBS!E110)</x:f>
      </x:c>
      <x:c r="H110" s="30" t="str">
        <x:f>IF(A110="","",WBS!J110)</x:f>
      </x:c>
    </x:row>
    <x:row r="111">
      <x:c r="A111" t="str">
        <x:f>IF(WBS!A111="","",WBS!A111)</x:f>
      </x:c>
      <x:c r="B111" t="str">
        <x:f>IF(A111="","",WBS!C111)</x:f>
      </x:c>
      <x:c r="C111" t="str">
        <x:f>IF(A111="","",WBS!D111)</x:f>
      </x:c>
      <x:c r="D111" s="29" t="str">
        <x:f>IF(OR(A111="",Setup!$B$7="",Setup!$B$8="",Setup!$B$8&lt;Setup!$B$7),"",SUMIFS(Daily!$G$7:$G$206,Daily!$Q$7:$Q$206,"Matched",Daily!$P$7:$P$206,"&lt;&gt;Duplicate event ID",Daily!$G$7:$G$206,"&gt;=0",Daily!$C$7:$C$206,A111,Daily!$B$7:$B$206,Setup!$B$4,Daily!$D$7:$D$206,"&gt;="&amp;Setup!$B$7,Daily!$D$7:$D$206,"&lt;="&amp;Setup!$B$8))</x:f>
      </x:c>
      <x:c r="E111" s="29" t="str">
        <x:f>IF(OR(A111="",Setup!$B$7="",Setup!$B$8="",Setup!$B$8&lt;Setup!$B$7),"",SUMIFS(Daily!$H$7:$H$206,Daily!$C$7:$C$206,A111,Daily!$B$7:$B$206,Setup!$B$4,Daily!$I$7:$I$206,"Accepted",Daily!$P$7:$P$206,"Recorded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1" s="29" t="str">
        <x:f>IF(A111="","",WBS!I111)</x:f>
      </x:c>
      <x:c r="G111" s="29" t="str">
        <x:f>IF(A111="","",WBS!E111)</x:f>
      </x:c>
      <x:c r="H111" s="30" t="str">
        <x:f>IF(A111="","",WBS!J111)</x:f>
      </x:c>
    </x:row>
    <x:row r="112">
      <x:c r="A112" t="str">
        <x:f>IF(WBS!A112="","",WBS!A112)</x:f>
      </x:c>
      <x:c r="B112" t="str">
        <x:f>IF(A112="","",WBS!C112)</x:f>
      </x:c>
      <x:c r="C112" t="str">
        <x:f>IF(A112="","",WBS!D112)</x:f>
      </x:c>
      <x:c r="D112" s="29" t="str">
        <x:f>IF(OR(A112="",Setup!$B$7="",Setup!$B$8="",Setup!$B$8&lt;Setup!$B$7),"",SUMIFS(Daily!$G$7:$G$206,Daily!$Q$7:$Q$206,"Matched",Daily!$P$7:$P$206,"&lt;&gt;Duplicate event ID",Daily!$G$7:$G$206,"&gt;=0",Daily!$C$7:$C$206,A112,Daily!$B$7:$B$206,Setup!$B$4,Daily!$D$7:$D$206,"&gt;="&amp;Setup!$B$7,Daily!$D$7:$D$206,"&lt;="&amp;Setup!$B$8))</x:f>
      </x:c>
      <x:c r="E112" s="29" t="str">
        <x:f>IF(OR(A112="",Setup!$B$7="",Setup!$B$8="",Setup!$B$8&lt;Setup!$B$7),"",SUMIFS(Daily!$H$7:$H$206,Daily!$C$7:$C$206,A112,Daily!$B$7:$B$206,Setup!$B$4,Daily!$I$7:$I$206,"Accepted",Daily!$P$7:$P$206,"Recorded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2" s="29" t="str">
        <x:f>IF(A112="","",WBS!I112)</x:f>
      </x:c>
      <x:c r="G112" s="29" t="str">
        <x:f>IF(A112="","",WBS!E112)</x:f>
      </x:c>
      <x:c r="H112" s="30" t="str">
        <x:f>IF(A112="","",WBS!J112)</x:f>
      </x:c>
    </x:row>
    <x:row r="113">
      <x:c r="A113" t="str">
        <x:f>IF(WBS!A113="","",WBS!A113)</x:f>
      </x:c>
      <x:c r="B113" t="str">
        <x:f>IF(A113="","",WBS!C113)</x:f>
      </x:c>
      <x:c r="C113" t="str">
        <x:f>IF(A113="","",WBS!D113)</x:f>
      </x:c>
      <x:c r="D113" s="29" t="str">
        <x:f>IF(OR(A113="",Setup!$B$7="",Setup!$B$8="",Setup!$B$8&lt;Setup!$B$7),"",SUMIFS(Daily!$G$7:$G$206,Daily!$Q$7:$Q$206,"Matched",Daily!$P$7:$P$206,"&lt;&gt;Duplicate event ID",Daily!$G$7:$G$206,"&gt;=0",Daily!$C$7:$C$206,A113,Daily!$B$7:$B$206,Setup!$B$4,Daily!$D$7:$D$206,"&gt;="&amp;Setup!$B$7,Daily!$D$7:$D$206,"&lt;="&amp;Setup!$B$8))</x:f>
      </x:c>
      <x:c r="E113" s="29" t="str">
        <x:f>IF(OR(A113="",Setup!$B$7="",Setup!$B$8="",Setup!$B$8&lt;Setup!$B$7),"",SUMIFS(Daily!$H$7:$H$206,Daily!$C$7:$C$206,A113,Daily!$B$7:$B$206,Setup!$B$4,Daily!$I$7:$I$206,"Accepted",Daily!$P$7:$P$206,"Recorded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3" s="29" t="str">
        <x:f>IF(A113="","",WBS!I113)</x:f>
      </x:c>
      <x:c r="G113" s="29" t="str">
        <x:f>IF(A113="","",WBS!E113)</x:f>
      </x:c>
      <x:c r="H113" s="30" t="str">
        <x:f>IF(A113="","",WBS!J113)</x:f>
      </x:c>
    </x:row>
    <x:row r="114">
      <x:c r="A114" t="str">
        <x:f>IF(WBS!A114="","",WBS!A114)</x:f>
      </x:c>
      <x:c r="B114" t="str">
        <x:f>IF(A114="","",WBS!C114)</x:f>
      </x:c>
      <x:c r="C114" t="str">
        <x:f>IF(A114="","",WBS!D114)</x:f>
      </x:c>
      <x:c r="D114" s="29" t="str">
        <x:f>IF(OR(A114="",Setup!$B$7="",Setup!$B$8="",Setup!$B$8&lt;Setup!$B$7),"",SUMIFS(Daily!$G$7:$G$206,Daily!$Q$7:$Q$206,"Matched",Daily!$P$7:$P$206,"&lt;&gt;Duplicate event ID",Daily!$G$7:$G$206,"&gt;=0",Daily!$C$7:$C$206,A114,Daily!$B$7:$B$206,Setup!$B$4,Daily!$D$7:$D$206,"&gt;="&amp;Setup!$B$7,Daily!$D$7:$D$206,"&lt;="&amp;Setup!$B$8))</x:f>
      </x:c>
      <x:c r="E114" s="29" t="str">
        <x:f>IF(OR(A114="",Setup!$B$7="",Setup!$B$8="",Setup!$B$8&lt;Setup!$B$7),"",SUMIFS(Daily!$H$7:$H$206,Daily!$C$7:$C$206,A114,Daily!$B$7:$B$206,Setup!$B$4,Daily!$I$7:$I$206,"Accepted",Daily!$P$7:$P$206,"Recorded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4" s="29" t="str">
        <x:f>IF(A114="","",WBS!I114)</x:f>
      </x:c>
      <x:c r="G114" s="29" t="str">
        <x:f>IF(A114="","",WBS!E114)</x:f>
      </x:c>
      <x:c r="H114" s="30" t="str">
        <x:f>IF(A114="","",WBS!J114)</x:f>
      </x:c>
    </x:row>
    <x:row r="115">
      <x:c r="A115" t="str">
        <x:f>IF(WBS!A115="","",WBS!A115)</x:f>
      </x:c>
      <x:c r="B115" t="str">
        <x:f>IF(A115="","",WBS!C115)</x:f>
      </x:c>
      <x:c r="C115" t="str">
        <x:f>IF(A115="","",WBS!D115)</x:f>
      </x:c>
      <x:c r="D115" s="29" t="str">
        <x:f>IF(OR(A115="",Setup!$B$7="",Setup!$B$8="",Setup!$B$8&lt;Setup!$B$7),"",SUMIFS(Daily!$G$7:$G$206,Daily!$Q$7:$Q$206,"Matched",Daily!$P$7:$P$206,"&lt;&gt;Duplicate event ID",Daily!$G$7:$G$206,"&gt;=0",Daily!$C$7:$C$206,A115,Daily!$B$7:$B$206,Setup!$B$4,Daily!$D$7:$D$206,"&gt;="&amp;Setup!$B$7,Daily!$D$7:$D$206,"&lt;="&amp;Setup!$B$8))</x:f>
      </x:c>
      <x:c r="E115" s="29" t="str">
        <x:f>IF(OR(A115="",Setup!$B$7="",Setup!$B$8="",Setup!$B$8&lt;Setup!$B$7),"",SUMIFS(Daily!$H$7:$H$206,Daily!$C$7:$C$206,A115,Daily!$B$7:$B$206,Setup!$B$4,Daily!$I$7:$I$206,"Accepted",Daily!$P$7:$P$206,"Recorded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5" s="29" t="str">
        <x:f>IF(A115="","",WBS!I115)</x:f>
      </x:c>
      <x:c r="G115" s="29" t="str">
        <x:f>IF(A115="","",WBS!E115)</x:f>
      </x:c>
      <x:c r="H115" s="30" t="str">
        <x:f>IF(A115="","",WBS!J115)</x:f>
      </x:c>
    </x:row>
    <x:row r="116">
      <x:c r="A116" t="str">
        <x:f>IF(WBS!A116="","",WBS!A116)</x:f>
      </x:c>
      <x:c r="B116" t="str">
        <x:f>IF(A116="","",WBS!C116)</x:f>
      </x:c>
      <x:c r="C116" t="str">
        <x:f>IF(A116="","",WBS!D116)</x:f>
      </x:c>
      <x:c r="D116" s="29" t="str">
        <x:f>IF(OR(A116="",Setup!$B$7="",Setup!$B$8="",Setup!$B$8&lt;Setup!$B$7),"",SUMIFS(Daily!$G$7:$G$206,Daily!$Q$7:$Q$206,"Matched",Daily!$P$7:$P$206,"&lt;&gt;Duplicate event ID",Daily!$G$7:$G$206,"&gt;=0",Daily!$C$7:$C$206,A116,Daily!$B$7:$B$206,Setup!$B$4,Daily!$D$7:$D$206,"&gt;="&amp;Setup!$B$7,Daily!$D$7:$D$206,"&lt;="&amp;Setup!$B$8))</x:f>
      </x:c>
      <x:c r="E116" s="29" t="str">
        <x:f>IF(OR(A116="",Setup!$B$7="",Setup!$B$8="",Setup!$B$8&lt;Setup!$B$7),"",SUMIFS(Daily!$H$7:$H$206,Daily!$C$7:$C$206,A116,Daily!$B$7:$B$206,Setup!$B$4,Daily!$I$7:$I$206,"Accepted",Daily!$P$7:$P$206,"Recorded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6" s="29" t="str">
        <x:f>IF(A116="","",WBS!I116)</x:f>
      </x:c>
      <x:c r="G116" s="29" t="str">
        <x:f>IF(A116="","",WBS!E116)</x:f>
      </x:c>
      <x:c r="H116" s="30" t="str">
        <x:f>IF(A116="","",WBS!J116)</x:f>
      </x:c>
    </x:row>
    <x:row r="117">
      <x:c r="A117" t="str">
        <x:f>IF(WBS!A117="","",WBS!A117)</x:f>
      </x:c>
      <x:c r="B117" t="str">
        <x:f>IF(A117="","",WBS!C117)</x:f>
      </x:c>
      <x:c r="C117" t="str">
        <x:f>IF(A117="","",WBS!D117)</x:f>
      </x:c>
      <x:c r="D117" s="29" t="str">
        <x:f>IF(OR(A117="",Setup!$B$7="",Setup!$B$8="",Setup!$B$8&lt;Setup!$B$7),"",SUMIFS(Daily!$G$7:$G$206,Daily!$Q$7:$Q$206,"Matched",Daily!$P$7:$P$206,"&lt;&gt;Duplicate event ID",Daily!$G$7:$G$206,"&gt;=0",Daily!$C$7:$C$206,A117,Daily!$B$7:$B$206,Setup!$B$4,Daily!$D$7:$D$206,"&gt;="&amp;Setup!$B$7,Daily!$D$7:$D$206,"&lt;="&amp;Setup!$B$8))</x:f>
      </x:c>
      <x:c r="E117" s="29" t="str">
        <x:f>IF(OR(A117="",Setup!$B$7="",Setup!$B$8="",Setup!$B$8&lt;Setup!$B$7),"",SUMIFS(Daily!$H$7:$H$206,Daily!$C$7:$C$206,A117,Daily!$B$7:$B$206,Setup!$B$4,Daily!$I$7:$I$206,"Accepted",Daily!$P$7:$P$206,"Recorded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7" s="29" t="str">
        <x:f>IF(A117="","",WBS!I117)</x:f>
      </x:c>
      <x:c r="G117" s="29" t="str">
        <x:f>IF(A117="","",WBS!E117)</x:f>
      </x:c>
      <x:c r="H117" s="30" t="str">
        <x:f>IF(A117="","",WBS!J117)</x:f>
      </x:c>
    </x:row>
    <x:row r="118">
      <x:c r="A118" t="str">
        <x:f>IF(WBS!A118="","",WBS!A118)</x:f>
      </x:c>
      <x:c r="B118" t="str">
        <x:f>IF(A118="","",WBS!C118)</x:f>
      </x:c>
      <x:c r="C118" t="str">
        <x:f>IF(A118="","",WBS!D118)</x:f>
      </x:c>
      <x:c r="D118" s="29" t="str">
        <x:f>IF(OR(A118="",Setup!$B$7="",Setup!$B$8="",Setup!$B$8&lt;Setup!$B$7),"",SUMIFS(Daily!$G$7:$G$206,Daily!$Q$7:$Q$206,"Matched",Daily!$P$7:$P$206,"&lt;&gt;Duplicate event ID",Daily!$G$7:$G$206,"&gt;=0",Daily!$C$7:$C$206,A118,Daily!$B$7:$B$206,Setup!$B$4,Daily!$D$7:$D$206,"&gt;="&amp;Setup!$B$7,Daily!$D$7:$D$206,"&lt;="&amp;Setup!$B$8))</x:f>
      </x:c>
      <x:c r="E118" s="29" t="str">
        <x:f>IF(OR(A118="",Setup!$B$7="",Setup!$B$8="",Setup!$B$8&lt;Setup!$B$7),"",SUMIFS(Daily!$H$7:$H$206,Daily!$C$7:$C$206,A118,Daily!$B$7:$B$206,Setup!$B$4,Daily!$I$7:$I$206,"Accepted",Daily!$P$7:$P$206,"Recorded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8" s="29" t="str">
        <x:f>IF(A118="","",WBS!I118)</x:f>
      </x:c>
      <x:c r="G118" s="29" t="str">
        <x:f>IF(A118="","",WBS!E118)</x:f>
      </x:c>
      <x:c r="H118" s="30" t="str">
        <x:f>IF(A118="","",WBS!J118)</x:f>
      </x:c>
    </x:row>
    <x:row r="119">
      <x:c r="A119" t="str">
        <x:f>IF(WBS!A119="","",WBS!A119)</x:f>
      </x:c>
      <x:c r="B119" t="str">
        <x:f>IF(A119="","",WBS!C119)</x:f>
      </x:c>
      <x:c r="C119" t="str">
        <x:f>IF(A119="","",WBS!D119)</x:f>
      </x:c>
      <x:c r="D119" s="29" t="str">
        <x:f>IF(OR(A119="",Setup!$B$7="",Setup!$B$8="",Setup!$B$8&lt;Setup!$B$7),"",SUMIFS(Daily!$G$7:$G$206,Daily!$Q$7:$Q$206,"Matched",Daily!$P$7:$P$206,"&lt;&gt;Duplicate event ID",Daily!$G$7:$G$206,"&gt;=0",Daily!$C$7:$C$206,A119,Daily!$B$7:$B$206,Setup!$B$4,Daily!$D$7:$D$206,"&gt;="&amp;Setup!$B$7,Daily!$D$7:$D$206,"&lt;="&amp;Setup!$B$8))</x:f>
      </x:c>
      <x:c r="E119" s="29" t="str">
        <x:f>IF(OR(A119="",Setup!$B$7="",Setup!$B$8="",Setup!$B$8&lt;Setup!$B$7),"",SUMIFS(Daily!$H$7:$H$206,Daily!$C$7:$C$206,A119,Daily!$B$7:$B$206,Setup!$B$4,Daily!$I$7:$I$206,"Accepted",Daily!$P$7:$P$206,"Recorded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9" s="29" t="str">
        <x:f>IF(A119="","",WBS!I119)</x:f>
      </x:c>
      <x:c r="G119" s="29" t="str">
        <x:f>IF(A119="","",WBS!E119)</x:f>
      </x:c>
      <x:c r="H119" s="30" t="str">
        <x:f>IF(A119="","",WBS!J119)</x:f>
      </x:c>
    </x:row>
    <x:row r="120">
      <x:c r="A120" t="str">
        <x:f>IF(WBS!A120="","",WBS!A120)</x:f>
      </x:c>
      <x:c r="B120" t="str">
        <x:f>IF(A120="","",WBS!C120)</x:f>
      </x:c>
      <x:c r="C120" t="str">
        <x:f>IF(A120="","",WBS!D120)</x:f>
      </x:c>
      <x:c r="D120" s="29" t="str">
        <x:f>IF(OR(A120="",Setup!$B$7="",Setup!$B$8="",Setup!$B$8&lt;Setup!$B$7),"",SUMIFS(Daily!$G$7:$G$206,Daily!$Q$7:$Q$206,"Matched",Daily!$P$7:$P$206,"&lt;&gt;Duplicate event ID",Daily!$G$7:$G$206,"&gt;=0",Daily!$C$7:$C$206,A120,Daily!$B$7:$B$206,Setup!$B$4,Daily!$D$7:$D$206,"&gt;="&amp;Setup!$B$7,Daily!$D$7:$D$206,"&lt;="&amp;Setup!$B$8))</x:f>
      </x:c>
      <x:c r="E120" s="29" t="str">
        <x:f>IF(OR(A120="",Setup!$B$7="",Setup!$B$8="",Setup!$B$8&lt;Setup!$B$7),"",SUMIFS(Daily!$H$7:$H$206,Daily!$C$7:$C$206,A120,Daily!$B$7:$B$206,Setup!$B$4,Daily!$I$7:$I$206,"Accepted",Daily!$P$7:$P$206,"Recorded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0" s="29" t="str">
        <x:f>IF(A120="","",WBS!I120)</x:f>
      </x:c>
      <x:c r="G120" s="29" t="str">
        <x:f>IF(A120="","",WBS!E120)</x:f>
      </x:c>
      <x:c r="H120" s="30" t="str">
        <x:f>IF(A120="","",WBS!J120)</x:f>
      </x:c>
    </x:row>
    <x:row r="121">
      <x:c r="A121" t="str">
        <x:f>IF(WBS!A121="","",WBS!A121)</x:f>
      </x:c>
      <x:c r="B121" t="str">
        <x:f>IF(A121="","",WBS!C121)</x:f>
      </x:c>
      <x:c r="C121" t="str">
        <x:f>IF(A121="","",WBS!D121)</x:f>
      </x:c>
      <x:c r="D121" s="29" t="str">
        <x:f>IF(OR(A121="",Setup!$B$7="",Setup!$B$8="",Setup!$B$8&lt;Setup!$B$7),"",SUMIFS(Daily!$G$7:$G$206,Daily!$Q$7:$Q$206,"Matched",Daily!$P$7:$P$206,"&lt;&gt;Duplicate event ID",Daily!$G$7:$G$206,"&gt;=0",Daily!$C$7:$C$206,A121,Daily!$B$7:$B$206,Setup!$B$4,Daily!$D$7:$D$206,"&gt;="&amp;Setup!$B$7,Daily!$D$7:$D$206,"&lt;="&amp;Setup!$B$8))</x:f>
      </x:c>
      <x:c r="E121" s="29" t="str">
        <x:f>IF(OR(A121="",Setup!$B$7="",Setup!$B$8="",Setup!$B$8&lt;Setup!$B$7),"",SUMIFS(Daily!$H$7:$H$206,Daily!$C$7:$C$206,A121,Daily!$B$7:$B$206,Setup!$B$4,Daily!$I$7:$I$206,"Accepted",Daily!$P$7:$P$206,"Recorded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1" s="29" t="str">
        <x:f>IF(A121="","",WBS!I121)</x:f>
      </x:c>
      <x:c r="G121" s="29" t="str">
        <x:f>IF(A121="","",WBS!E121)</x:f>
      </x:c>
      <x:c r="H121" s="30" t="str">
        <x:f>IF(A121="","",WBS!J121)</x:f>
      </x:c>
    </x:row>
    <x:row r="122">
      <x:c r="A122" t="str">
        <x:f>IF(WBS!A122="","",WBS!A122)</x:f>
      </x:c>
      <x:c r="B122" t="str">
        <x:f>IF(A122="","",WBS!C122)</x:f>
      </x:c>
      <x:c r="C122" t="str">
        <x:f>IF(A122="","",WBS!D122)</x:f>
      </x:c>
      <x:c r="D122" s="29" t="str">
        <x:f>IF(OR(A122="",Setup!$B$7="",Setup!$B$8="",Setup!$B$8&lt;Setup!$B$7),"",SUMIFS(Daily!$G$7:$G$206,Daily!$Q$7:$Q$206,"Matched",Daily!$P$7:$P$206,"&lt;&gt;Duplicate event ID",Daily!$G$7:$G$206,"&gt;=0",Daily!$C$7:$C$206,A122,Daily!$B$7:$B$206,Setup!$B$4,Daily!$D$7:$D$206,"&gt;="&amp;Setup!$B$7,Daily!$D$7:$D$206,"&lt;="&amp;Setup!$B$8))</x:f>
      </x:c>
      <x:c r="E122" s="29" t="str">
        <x:f>IF(OR(A122="",Setup!$B$7="",Setup!$B$8="",Setup!$B$8&lt;Setup!$B$7),"",SUMIFS(Daily!$H$7:$H$206,Daily!$C$7:$C$206,A122,Daily!$B$7:$B$206,Setup!$B$4,Daily!$I$7:$I$206,"Accepted",Daily!$P$7:$P$206,"Recorded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2" s="29" t="str">
        <x:f>IF(A122="","",WBS!I122)</x:f>
      </x:c>
      <x:c r="G122" s="29" t="str">
        <x:f>IF(A122="","",WBS!E122)</x:f>
      </x:c>
      <x:c r="H122" s="30" t="str">
        <x:f>IF(A122="","",WBS!J122)</x:f>
      </x:c>
    </x:row>
    <x:row r="123">
      <x:c r="A123" t="str">
        <x:f>IF(WBS!A123="","",WBS!A123)</x:f>
      </x:c>
      <x:c r="B123" t="str">
        <x:f>IF(A123="","",WBS!C123)</x:f>
      </x:c>
      <x:c r="C123" t="str">
        <x:f>IF(A123="","",WBS!D123)</x:f>
      </x:c>
      <x:c r="D123" s="29" t="str">
        <x:f>IF(OR(A123="",Setup!$B$7="",Setup!$B$8="",Setup!$B$8&lt;Setup!$B$7),"",SUMIFS(Daily!$G$7:$G$206,Daily!$Q$7:$Q$206,"Matched",Daily!$P$7:$P$206,"&lt;&gt;Duplicate event ID",Daily!$G$7:$G$206,"&gt;=0",Daily!$C$7:$C$206,A123,Daily!$B$7:$B$206,Setup!$B$4,Daily!$D$7:$D$206,"&gt;="&amp;Setup!$B$7,Daily!$D$7:$D$206,"&lt;="&amp;Setup!$B$8))</x:f>
      </x:c>
      <x:c r="E123" s="29" t="str">
        <x:f>IF(OR(A123="",Setup!$B$7="",Setup!$B$8="",Setup!$B$8&lt;Setup!$B$7),"",SUMIFS(Daily!$H$7:$H$206,Daily!$C$7:$C$206,A123,Daily!$B$7:$B$206,Setup!$B$4,Daily!$I$7:$I$206,"Accepted",Daily!$P$7:$P$206,"Recorded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3" s="29" t="str">
        <x:f>IF(A123="","",WBS!I123)</x:f>
      </x:c>
      <x:c r="G123" s="29" t="str">
        <x:f>IF(A123="","",WBS!E123)</x:f>
      </x:c>
      <x:c r="H123" s="30" t="str">
        <x:f>IF(A123="","",WBS!J123)</x:f>
      </x:c>
    </x:row>
    <x:row r="124">
      <x:c r="A124" t="str">
        <x:f>IF(WBS!A124="","",WBS!A124)</x:f>
      </x:c>
      <x:c r="B124" t="str">
        <x:f>IF(A124="","",WBS!C124)</x:f>
      </x:c>
      <x:c r="C124" t="str">
        <x:f>IF(A124="","",WBS!D124)</x:f>
      </x:c>
      <x:c r="D124" s="29" t="str">
        <x:f>IF(OR(A124="",Setup!$B$7="",Setup!$B$8="",Setup!$B$8&lt;Setup!$B$7),"",SUMIFS(Daily!$G$7:$G$206,Daily!$Q$7:$Q$206,"Matched",Daily!$P$7:$P$206,"&lt;&gt;Duplicate event ID",Daily!$G$7:$G$206,"&gt;=0",Daily!$C$7:$C$206,A124,Daily!$B$7:$B$206,Setup!$B$4,Daily!$D$7:$D$206,"&gt;="&amp;Setup!$B$7,Daily!$D$7:$D$206,"&lt;="&amp;Setup!$B$8))</x:f>
      </x:c>
      <x:c r="E124" s="29" t="str">
        <x:f>IF(OR(A124="",Setup!$B$7="",Setup!$B$8="",Setup!$B$8&lt;Setup!$B$7),"",SUMIFS(Daily!$H$7:$H$206,Daily!$C$7:$C$206,A124,Daily!$B$7:$B$206,Setup!$B$4,Daily!$I$7:$I$206,"Accepted",Daily!$P$7:$P$206,"Recorded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4" s="29" t="str">
        <x:f>IF(A124="","",WBS!I124)</x:f>
      </x:c>
      <x:c r="G124" s="29" t="str">
        <x:f>IF(A124="","",WBS!E124)</x:f>
      </x:c>
      <x:c r="H124" s="30" t="str">
        <x:f>IF(A124="","",WBS!J124)</x:f>
      </x:c>
    </x:row>
    <x:row r="125">
      <x:c r="A125" t="str">
        <x:f>IF(WBS!A125="","",WBS!A125)</x:f>
      </x:c>
      <x:c r="B125" t="str">
        <x:f>IF(A125="","",WBS!C125)</x:f>
      </x:c>
      <x:c r="C125" t="str">
        <x:f>IF(A125="","",WBS!D125)</x:f>
      </x:c>
      <x:c r="D125" s="29" t="str">
        <x:f>IF(OR(A125="",Setup!$B$7="",Setup!$B$8="",Setup!$B$8&lt;Setup!$B$7),"",SUMIFS(Daily!$G$7:$G$206,Daily!$Q$7:$Q$206,"Matched",Daily!$P$7:$P$206,"&lt;&gt;Duplicate event ID",Daily!$G$7:$G$206,"&gt;=0",Daily!$C$7:$C$206,A125,Daily!$B$7:$B$206,Setup!$B$4,Daily!$D$7:$D$206,"&gt;="&amp;Setup!$B$7,Daily!$D$7:$D$206,"&lt;="&amp;Setup!$B$8))</x:f>
      </x:c>
      <x:c r="E125" s="29" t="str">
        <x:f>IF(OR(A125="",Setup!$B$7="",Setup!$B$8="",Setup!$B$8&lt;Setup!$B$7),"",SUMIFS(Daily!$H$7:$H$206,Daily!$C$7:$C$206,A125,Daily!$B$7:$B$206,Setup!$B$4,Daily!$I$7:$I$206,"Accepted",Daily!$P$7:$P$206,"Recorded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5" s="29" t="str">
        <x:f>IF(A125="","",WBS!I125)</x:f>
      </x:c>
      <x:c r="G125" s="29" t="str">
        <x:f>IF(A125="","",WBS!E125)</x:f>
      </x:c>
      <x:c r="H125" s="30" t="str">
        <x:f>IF(A125="","",WBS!J125)</x:f>
      </x:c>
    </x:row>
    <x:row r="126">
      <x:c r="A126" t="str">
        <x:f>IF(WBS!A126="","",WBS!A126)</x:f>
      </x:c>
      <x:c r="B126" t="str">
        <x:f>IF(A126="","",WBS!C126)</x:f>
      </x:c>
      <x:c r="C126" t="str">
        <x:f>IF(A126="","",WBS!D126)</x:f>
      </x:c>
      <x:c r="D126" s="29" t="str">
        <x:f>IF(OR(A126="",Setup!$B$7="",Setup!$B$8="",Setup!$B$8&lt;Setup!$B$7),"",SUMIFS(Daily!$G$7:$G$206,Daily!$Q$7:$Q$206,"Matched",Daily!$P$7:$P$206,"&lt;&gt;Duplicate event ID",Daily!$G$7:$G$206,"&gt;=0",Daily!$C$7:$C$206,A126,Daily!$B$7:$B$206,Setup!$B$4,Daily!$D$7:$D$206,"&gt;="&amp;Setup!$B$7,Daily!$D$7:$D$206,"&lt;="&amp;Setup!$B$8))</x:f>
      </x:c>
      <x:c r="E126" s="29" t="str">
        <x:f>IF(OR(A126="",Setup!$B$7="",Setup!$B$8="",Setup!$B$8&lt;Setup!$B$7),"",SUMIFS(Daily!$H$7:$H$206,Daily!$C$7:$C$206,A126,Daily!$B$7:$B$206,Setup!$B$4,Daily!$I$7:$I$206,"Accepted",Daily!$P$7:$P$206,"Recorded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6" s="29" t="str">
        <x:f>IF(A126="","",WBS!I126)</x:f>
      </x:c>
      <x:c r="G126" s="29" t="str">
        <x:f>IF(A126="","",WBS!E126)</x:f>
      </x:c>
      <x:c r="H126" s="30" t="str">
        <x:f>IF(A126="","",WBS!J126)</x:f>
      </x:c>
    </x:row>
    <x:row r="127">
      <x:c r="A127" t="str">
        <x:f>IF(WBS!A127="","",WBS!A127)</x:f>
      </x:c>
      <x:c r="B127" t="str">
        <x:f>IF(A127="","",WBS!C127)</x:f>
      </x:c>
      <x:c r="C127" t="str">
        <x:f>IF(A127="","",WBS!D127)</x:f>
      </x:c>
      <x:c r="D127" s="29" t="str">
        <x:f>IF(OR(A127="",Setup!$B$7="",Setup!$B$8="",Setup!$B$8&lt;Setup!$B$7),"",SUMIFS(Daily!$G$7:$G$206,Daily!$Q$7:$Q$206,"Matched",Daily!$P$7:$P$206,"&lt;&gt;Duplicate event ID",Daily!$G$7:$G$206,"&gt;=0",Daily!$C$7:$C$206,A127,Daily!$B$7:$B$206,Setup!$B$4,Daily!$D$7:$D$206,"&gt;="&amp;Setup!$B$7,Daily!$D$7:$D$206,"&lt;="&amp;Setup!$B$8))</x:f>
      </x:c>
      <x:c r="E127" s="29" t="str">
        <x:f>IF(OR(A127="",Setup!$B$7="",Setup!$B$8="",Setup!$B$8&lt;Setup!$B$7),"",SUMIFS(Daily!$H$7:$H$206,Daily!$C$7:$C$206,A127,Daily!$B$7:$B$206,Setup!$B$4,Daily!$I$7:$I$206,"Accepted",Daily!$P$7:$P$206,"Recorded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7" s="29" t="str">
        <x:f>IF(A127="","",WBS!I127)</x:f>
      </x:c>
      <x:c r="G127" s="29" t="str">
        <x:f>IF(A127="","",WBS!E127)</x:f>
      </x:c>
      <x:c r="H127" s="30" t="str">
        <x:f>IF(A127="","",WBS!J127)</x:f>
      </x:c>
    </x:row>
    <x:row r="128">
      <x:c r="A128" t="str">
        <x:f>IF(WBS!A128="","",WBS!A128)</x:f>
      </x:c>
      <x:c r="B128" t="str">
        <x:f>IF(A128="","",WBS!C128)</x:f>
      </x:c>
      <x:c r="C128" t="str">
        <x:f>IF(A128="","",WBS!D128)</x:f>
      </x:c>
      <x:c r="D128" s="29" t="str">
        <x:f>IF(OR(A128="",Setup!$B$7="",Setup!$B$8="",Setup!$B$8&lt;Setup!$B$7),"",SUMIFS(Daily!$G$7:$G$206,Daily!$Q$7:$Q$206,"Matched",Daily!$P$7:$P$206,"&lt;&gt;Duplicate event ID",Daily!$G$7:$G$206,"&gt;=0",Daily!$C$7:$C$206,A128,Daily!$B$7:$B$206,Setup!$B$4,Daily!$D$7:$D$206,"&gt;="&amp;Setup!$B$7,Daily!$D$7:$D$206,"&lt;="&amp;Setup!$B$8))</x:f>
      </x:c>
      <x:c r="E128" s="29" t="str">
        <x:f>IF(OR(A128="",Setup!$B$7="",Setup!$B$8="",Setup!$B$8&lt;Setup!$B$7),"",SUMIFS(Daily!$H$7:$H$206,Daily!$C$7:$C$206,A128,Daily!$B$7:$B$206,Setup!$B$4,Daily!$I$7:$I$206,"Accepted",Daily!$P$7:$P$206,"Recorded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8" s="29" t="str">
        <x:f>IF(A128="","",WBS!I128)</x:f>
      </x:c>
      <x:c r="G128" s="29" t="str">
        <x:f>IF(A128="","",WBS!E128)</x:f>
      </x:c>
      <x:c r="H128" s="30" t="str">
        <x:f>IF(A128="","",WBS!J128)</x:f>
      </x:c>
    </x:row>
    <x:row r="129">
      <x:c r="A129" t="str">
        <x:f>IF(WBS!A129="","",WBS!A129)</x:f>
      </x:c>
      <x:c r="B129" t="str">
        <x:f>IF(A129="","",WBS!C129)</x:f>
      </x:c>
      <x:c r="C129" t="str">
        <x:f>IF(A129="","",WBS!D129)</x:f>
      </x:c>
      <x:c r="D129" s="29" t="str">
        <x:f>IF(OR(A129="",Setup!$B$7="",Setup!$B$8="",Setup!$B$8&lt;Setup!$B$7),"",SUMIFS(Daily!$G$7:$G$206,Daily!$Q$7:$Q$206,"Matched",Daily!$P$7:$P$206,"&lt;&gt;Duplicate event ID",Daily!$G$7:$G$206,"&gt;=0",Daily!$C$7:$C$206,A129,Daily!$B$7:$B$206,Setup!$B$4,Daily!$D$7:$D$206,"&gt;="&amp;Setup!$B$7,Daily!$D$7:$D$206,"&lt;="&amp;Setup!$B$8))</x:f>
      </x:c>
      <x:c r="E129" s="29" t="str">
        <x:f>IF(OR(A129="",Setup!$B$7="",Setup!$B$8="",Setup!$B$8&lt;Setup!$B$7),"",SUMIFS(Daily!$H$7:$H$206,Daily!$C$7:$C$206,A129,Daily!$B$7:$B$206,Setup!$B$4,Daily!$I$7:$I$206,"Accepted",Daily!$P$7:$P$206,"Recorded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9" s="29" t="str">
        <x:f>IF(A129="","",WBS!I129)</x:f>
      </x:c>
      <x:c r="G129" s="29" t="str">
        <x:f>IF(A129="","",WBS!E129)</x:f>
      </x:c>
      <x:c r="H129" s="30" t="str">
        <x:f>IF(A129="","",WBS!J129)</x:f>
      </x:c>
    </x:row>
    <x:row r="130">
      <x:c r="A130" t="str">
        <x:f>IF(WBS!A130="","",WBS!A130)</x:f>
      </x:c>
      <x:c r="B130" t="str">
        <x:f>IF(A130="","",WBS!C130)</x:f>
      </x:c>
      <x:c r="C130" t="str">
        <x:f>IF(A130="","",WBS!D130)</x:f>
      </x:c>
      <x:c r="D130" s="29" t="str">
        <x:f>IF(OR(A130="",Setup!$B$7="",Setup!$B$8="",Setup!$B$8&lt;Setup!$B$7),"",SUMIFS(Daily!$G$7:$G$206,Daily!$Q$7:$Q$206,"Matched",Daily!$P$7:$P$206,"&lt;&gt;Duplicate event ID",Daily!$G$7:$G$206,"&gt;=0",Daily!$C$7:$C$206,A130,Daily!$B$7:$B$206,Setup!$B$4,Daily!$D$7:$D$206,"&gt;="&amp;Setup!$B$7,Daily!$D$7:$D$206,"&lt;="&amp;Setup!$B$8))</x:f>
      </x:c>
      <x:c r="E130" s="29" t="str">
        <x:f>IF(OR(A130="",Setup!$B$7="",Setup!$B$8="",Setup!$B$8&lt;Setup!$B$7),"",SUMIFS(Daily!$H$7:$H$206,Daily!$C$7:$C$206,A130,Daily!$B$7:$B$206,Setup!$B$4,Daily!$I$7:$I$206,"Accepted",Daily!$P$7:$P$206,"Recorded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0" s="29" t="str">
        <x:f>IF(A130="","",WBS!I130)</x:f>
      </x:c>
      <x:c r="G130" s="29" t="str">
        <x:f>IF(A130="","",WBS!E130)</x:f>
      </x:c>
      <x:c r="H130" s="30" t="str">
        <x:f>IF(A130="","",WBS!J130)</x:f>
      </x:c>
    </x:row>
    <x:row r="131">
      <x:c r="A131" t="str">
        <x:f>IF(WBS!A131="","",WBS!A131)</x:f>
      </x:c>
      <x:c r="B131" t="str">
        <x:f>IF(A131="","",WBS!C131)</x:f>
      </x:c>
      <x:c r="C131" t="str">
        <x:f>IF(A131="","",WBS!D131)</x:f>
      </x:c>
      <x:c r="D131" s="29" t="str">
        <x:f>IF(OR(A131="",Setup!$B$7="",Setup!$B$8="",Setup!$B$8&lt;Setup!$B$7),"",SUMIFS(Daily!$G$7:$G$206,Daily!$Q$7:$Q$206,"Matched",Daily!$P$7:$P$206,"&lt;&gt;Duplicate event ID",Daily!$G$7:$G$206,"&gt;=0",Daily!$C$7:$C$206,A131,Daily!$B$7:$B$206,Setup!$B$4,Daily!$D$7:$D$206,"&gt;="&amp;Setup!$B$7,Daily!$D$7:$D$206,"&lt;="&amp;Setup!$B$8))</x:f>
      </x:c>
      <x:c r="E131" s="29" t="str">
        <x:f>IF(OR(A131="",Setup!$B$7="",Setup!$B$8="",Setup!$B$8&lt;Setup!$B$7),"",SUMIFS(Daily!$H$7:$H$206,Daily!$C$7:$C$206,A131,Daily!$B$7:$B$206,Setup!$B$4,Daily!$I$7:$I$206,"Accepted",Daily!$P$7:$P$206,"Recorded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1" s="29" t="str">
        <x:f>IF(A131="","",WBS!I131)</x:f>
      </x:c>
      <x:c r="G131" s="29" t="str">
        <x:f>IF(A131="","",WBS!E131)</x:f>
      </x:c>
      <x:c r="H131" s="30" t="str">
        <x:f>IF(A131="","",WBS!J131)</x:f>
      </x:c>
    </x:row>
    <x:row r="132">
      <x:c r="A132" t="str">
        <x:f>IF(WBS!A132="","",WBS!A132)</x:f>
      </x:c>
      <x:c r="B132" t="str">
        <x:f>IF(A132="","",WBS!C132)</x:f>
      </x:c>
      <x:c r="C132" t="str">
        <x:f>IF(A132="","",WBS!D132)</x:f>
      </x:c>
      <x:c r="D132" s="29" t="str">
        <x:f>IF(OR(A132="",Setup!$B$7="",Setup!$B$8="",Setup!$B$8&lt;Setup!$B$7),"",SUMIFS(Daily!$G$7:$G$206,Daily!$Q$7:$Q$206,"Matched",Daily!$P$7:$P$206,"&lt;&gt;Duplicate event ID",Daily!$G$7:$G$206,"&gt;=0",Daily!$C$7:$C$206,A132,Daily!$B$7:$B$206,Setup!$B$4,Daily!$D$7:$D$206,"&gt;="&amp;Setup!$B$7,Daily!$D$7:$D$206,"&lt;="&amp;Setup!$B$8))</x:f>
      </x:c>
      <x:c r="E132" s="29" t="str">
        <x:f>IF(OR(A132="",Setup!$B$7="",Setup!$B$8="",Setup!$B$8&lt;Setup!$B$7),"",SUMIFS(Daily!$H$7:$H$206,Daily!$C$7:$C$206,A132,Daily!$B$7:$B$206,Setup!$B$4,Daily!$I$7:$I$206,"Accepted",Daily!$P$7:$P$206,"Recorded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2" s="29" t="str">
        <x:f>IF(A132="","",WBS!I132)</x:f>
      </x:c>
      <x:c r="G132" s="29" t="str">
        <x:f>IF(A132="","",WBS!E132)</x:f>
      </x:c>
      <x:c r="H132" s="30" t="str">
        <x:f>IF(A132="","",WBS!J132)</x:f>
      </x:c>
    </x:row>
    <x:row r="133">
      <x:c r="A133" t="str">
        <x:f>IF(WBS!A133="","",WBS!A133)</x:f>
      </x:c>
      <x:c r="B133" t="str">
        <x:f>IF(A133="","",WBS!C133)</x:f>
      </x:c>
      <x:c r="C133" t="str">
        <x:f>IF(A133="","",WBS!D133)</x:f>
      </x:c>
      <x:c r="D133" s="29" t="str">
        <x:f>IF(OR(A133="",Setup!$B$7="",Setup!$B$8="",Setup!$B$8&lt;Setup!$B$7),"",SUMIFS(Daily!$G$7:$G$206,Daily!$Q$7:$Q$206,"Matched",Daily!$P$7:$P$206,"&lt;&gt;Duplicate event ID",Daily!$G$7:$G$206,"&gt;=0",Daily!$C$7:$C$206,A133,Daily!$B$7:$B$206,Setup!$B$4,Daily!$D$7:$D$206,"&gt;="&amp;Setup!$B$7,Daily!$D$7:$D$206,"&lt;="&amp;Setup!$B$8))</x:f>
      </x:c>
      <x:c r="E133" s="29" t="str">
        <x:f>IF(OR(A133="",Setup!$B$7="",Setup!$B$8="",Setup!$B$8&lt;Setup!$B$7),"",SUMIFS(Daily!$H$7:$H$206,Daily!$C$7:$C$206,A133,Daily!$B$7:$B$206,Setup!$B$4,Daily!$I$7:$I$206,"Accepted",Daily!$P$7:$P$206,"Recorded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3" s="29" t="str">
        <x:f>IF(A133="","",WBS!I133)</x:f>
      </x:c>
      <x:c r="G133" s="29" t="str">
        <x:f>IF(A133="","",WBS!E133)</x:f>
      </x:c>
      <x:c r="H133" s="30" t="str">
        <x:f>IF(A133="","",WBS!J133)</x:f>
      </x:c>
    </x:row>
    <x:row r="134">
      <x:c r="A134" t="str">
        <x:f>IF(WBS!A134="","",WBS!A134)</x:f>
      </x:c>
      <x:c r="B134" t="str">
        <x:f>IF(A134="","",WBS!C134)</x:f>
      </x:c>
      <x:c r="C134" t="str">
        <x:f>IF(A134="","",WBS!D134)</x:f>
      </x:c>
      <x:c r="D134" s="29" t="str">
        <x:f>IF(OR(A134="",Setup!$B$7="",Setup!$B$8="",Setup!$B$8&lt;Setup!$B$7),"",SUMIFS(Daily!$G$7:$G$206,Daily!$Q$7:$Q$206,"Matched",Daily!$P$7:$P$206,"&lt;&gt;Duplicate event ID",Daily!$G$7:$G$206,"&gt;=0",Daily!$C$7:$C$206,A134,Daily!$B$7:$B$206,Setup!$B$4,Daily!$D$7:$D$206,"&gt;="&amp;Setup!$B$7,Daily!$D$7:$D$206,"&lt;="&amp;Setup!$B$8))</x:f>
      </x:c>
      <x:c r="E134" s="29" t="str">
        <x:f>IF(OR(A134="",Setup!$B$7="",Setup!$B$8="",Setup!$B$8&lt;Setup!$B$7),"",SUMIFS(Daily!$H$7:$H$206,Daily!$C$7:$C$206,A134,Daily!$B$7:$B$206,Setup!$B$4,Daily!$I$7:$I$206,"Accepted",Daily!$P$7:$P$206,"Recorded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4" s="29" t="str">
        <x:f>IF(A134="","",WBS!I134)</x:f>
      </x:c>
      <x:c r="G134" s="29" t="str">
        <x:f>IF(A134="","",WBS!E134)</x:f>
      </x:c>
      <x:c r="H134" s="30" t="str">
        <x:f>IF(A134="","",WBS!J134)</x:f>
      </x:c>
    </x:row>
    <x:row r="135">
      <x:c r="A135" t="str">
        <x:f>IF(WBS!A135="","",WBS!A135)</x:f>
      </x:c>
      <x:c r="B135" t="str">
        <x:f>IF(A135="","",WBS!C135)</x:f>
      </x:c>
      <x:c r="C135" t="str">
        <x:f>IF(A135="","",WBS!D135)</x:f>
      </x:c>
      <x:c r="D135" s="29" t="str">
        <x:f>IF(OR(A135="",Setup!$B$7="",Setup!$B$8="",Setup!$B$8&lt;Setup!$B$7),"",SUMIFS(Daily!$G$7:$G$206,Daily!$Q$7:$Q$206,"Matched",Daily!$P$7:$P$206,"&lt;&gt;Duplicate event ID",Daily!$G$7:$G$206,"&gt;=0",Daily!$C$7:$C$206,A135,Daily!$B$7:$B$206,Setup!$B$4,Daily!$D$7:$D$206,"&gt;="&amp;Setup!$B$7,Daily!$D$7:$D$206,"&lt;="&amp;Setup!$B$8))</x:f>
      </x:c>
      <x:c r="E135" s="29" t="str">
        <x:f>IF(OR(A135="",Setup!$B$7="",Setup!$B$8="",Setup!$B$8&lt;Setup!$B$7),"",SUMIFS(Daily!$H$7:$H$206,Daily!$C$7:$C$206,A135,Daily!$B$7:$B$206,Setup!$B$4,Daily!$I$7:$I$206,"Accepted",Daily!$P$7:$P$206,"Recorded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5" s="29" t="str">
        <x:f>IF(A135="","",WBS!I135)</x:f>
      </x:c>
      <x:c r="G135" s="29" t="str">
        <x:f>IF(A135="","",WBS!E135)</x:f>
      </x:c>
      <x:c r="H135" s="30" t="str">
        <x:f>IF(A135="","",WBS!J135)</x:f>
      </x:c>
    </x:row>
    <x:row r="136">
      <x:c r="A136" t="str">
        <x:f>IF(WBS!A136="","",WBS!A136)</x:f>
      </x:c>
      <x:c r="B136" t="str">
        <x:f>IF(A136="","",WBS!C136)</x:f>
      </x:c>
      <x:c r="C136" t="str">
        <x:f>IF(A136="","",WBS!D136)</x:f>
      </x:c>
      <x:c r="D136" s="29" t="str">
        <x:f>IF(OR(A136="",Setup!$B$7="",Setup!$B$8="",Setup!$B$8&lt;Setup!$B$7),"",SUMIFS(Daily!$G$7:$G$206,Daily!$Q$7:$Q$206,"Matched",Daily!$P$7:$P$206,"&lt;&gt;Duplicate event ID",Daily!$G$7:$G$206,"&gt;=0",Daily!$C$7:$C$206,A136,Daily!$B$7:$B$206,Setup!$B$4,Daily!$D$7:$D$206,"&gt;="&amp;Setup!$B$7,Daily!$D$7:$D$206,"&lt;="&amp;Setup!$B$8))</x:f>
      </x:c>
      <x:c r="E136" s="29" t="str">
        <x:f>IF(OR(A136="",Setup!$B$7="",Setup!$B$8="",Setup!$B$8&lt;Setup!$B$7),"",SUMIFS(Daily!$H$7:$H$206,Daily!$C$7:$C$206,A136,Daily!$B$7:$B$206,Setup!$B$4,Daily!$I$7:$I$206,"Accepted",Daily!$P$7:$P$206,"Recorded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6" s="29" t="str">
        <x:f>IF(A136="","",WBS!I136)</x:f>
      </x:c>
      <x:c r="G136" s="29" t="str">
        <x:f>IF(A136="","",WBS!E136)</x:f>
      </x:c>
      <x:c r="H136" s="30" t="str">
        <x:f>IF(A136="","",WBS!J136)</x:f>
      </x:c>
    </x:row>
    <x:row r="137">
      <x:c r="A137" t="str">
        <x:f>IF(WBS!A137="","",WBS!A137)</x:f>
      </x:c>
      <x:c r="B137" t="str">
        <x:f>IF(A137="","",WBS!C137)</x:f>
      </x:c>
      <x:c r="C137" t="str">
        <x:f>IF(A137="","",WBS!D137)</x:f>
      </x:c>
      <x:c r="D137" s="29" t="str">
        <x:f>IF(OR(A137="",Setup!$B$7="",Setup!$B$8="",Setup!$B$8&lt;Setup!$B$7),"",SUMIFS(Daily!$G$7:$G$206,Daily!$Q$7:$Q$206,"Matched",Daily!$P$7:$P$206,"&lt;&gt;Duplicate event ID",Daily!$G$7:$G$206,"&gt;=0",Daily!$C$7:$C$206,A137,Daily!$B$7:$B$206,Setup!$B$4,Daily!$D$7:$D$206,"&gt;="&amp;Setup!$B$7,Daily!$D$7:$D$206,"&lt;="&amp;Setup!$B$8))</x:f>
      </x:c>
      <x:c r="E137" s="29" t="str">
        <x:f>IF(OR(A137="",Setup!$B$7="",Setup!$B$8="",Setup!$B$8&lt;Setup!$B$7),"",SUMIFS(Daily!$H$7:$H$206,Daily!$C$7:$C$206,A137,Daily!$B$7:$B$206,Setup!$B$4,Daily!$I$7:$I$206,"Accepted",Daily!$P$7:$P$206,"Recorded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7" s="29" t="str">
        <x:f>IF(A137="","",WBS!I137)</x:f>
      </x:c>
      <x:c r="G137" s="29" t="str">
        <x:f>IF(A137="","",WBS!E137)</x:f>
      </x:c>
      <x:c r="H137" s="30" t="str">
        <x:f>IF(A137="","",WBS!J137)</x:f>
      </x:c>
    </x:row>
    <x:row r="138">
      <x:c r="A138" t="str">
        <x:f>IF(WBS!A138="","",WBS!A138)</x:f>
      </x:c>
      <x:c r="B138" t="str">
        <x:f>IF(A138="","",WBS!C138)</x:f>
      </x:c>
      <x:c r="C138" t="str">
        <x:f>IF(A138="","",WBS!D138)</x:f>
      </x:c>
      <x:c r="D138" s="29" t="str">
        <x:f>IF(OR(A138="",Setup!$B$7="",Setup!$B$8="",Setup!$B$8&lt;Setup!$B$7),"",SUMIFS(Daily!$G$7:$G$206,Daily!$Q$7:$Q$206,"Matched",Daily!$P$7:$P$206,"&lt;&gt;Duplicate event ID",Daily!$G$7:$G$206,"&gt;=0",Daily!$C$7:$C$206,A138,Daily!$B$7:$B$206,Setup!$B$4,Daily!$D$7:$D$206,"&gt;="&amp;Setup!$B$7,Daily!$D$7:$D$206,"&lt;="&amp;Setup!$B$8))</x:f>
      </x:c>
      <x:c r="E138" s="29" t="str">
        <x:f>IF(OR(A138="",Setup!$B$7="",Setup!$B$8="",Setup!$B$8&lt;Setup!$B$7),"",SUMIFS(Daily!$H$7:$H$206,Daily!$C$7:$C$206,A138,Daily!$B$7:$B$206,Setup!$B$4,Daily!$I$7:$I$206,"Accepted",Daily!$P$7:$P$206,"Recorded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8" s="29" t="str">
        <x:f>IF(A138="","",WBS!I138)</x:f>
      </x:c>
      <x:c r="G138" s="29" t="str">
        <x:f>IF(A138="","",WBS!E138)</x:f>
      </x:c>
      <x:c r="H138" s="30" t="str">
        <x:f>IF(A138="","",WBS!J138)</x:f>
      </x:c>
    </x:row>
    <x:row r="139">
      <x:c r="A139" t="str">
        <x:f>IF(WBS!A139="","",WBS!A139)</x:f>
      </x:c>
      <x:c r="B139" t="str">
        <x:f>IF(A139="","",WBS!C139)</x:f>
      </x:c>
      <x:c r="C139" t="str">
        <x:f>IF(A139="","",WBS!D139)</x:f>
      </x:c>
      <x:c r="D139" s="29" t="str">
        <x:f>IF(OR(A139="",Setup!$B$7="",Setup!$B$8="",Setup!$B$8&lt;Setup!$B$7),"",SUMIFS(Daily!$G$7:$G$206,Daily!$Q$7:$Q$206,"Matched",Daily!$P$7:$P$206,"&lt;&gt;Duplicate event ID",Daily!$G$7:$G$206,"&gt;=0",Daily!$C$7:$C$206,A139,Daily!$B$7:$B$206,Setup!$B$4,Daily!$D$7:$D$206,"&gt;="&amp;Setup!$B$7,Daily!$D$7:$D$206,"&lt;="&amp;Setup!$B$8))</x:f>
      </x:c>
      <x:c r="E139" s="29" t="str">
        <x:f>IF(OR(A139="",Setup!$B$7="",Setup!$B$8="",Setup!$B$8&lt;Setup!$B$7),"",SUMIFS(Daily!$H$7:$H$206,Daily!$C$7:$C$206,A139,Daily!$B$7:$B$206,Setup!$B$4,Daily!$I$7:$I$206,"Accepted",Daily!$P$7:$P$206,"Recorded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9" s="29" t="str">
        <x:f>IF(A139="","",WBS!I139)</x:f>
      </x:c>
      <x:c r="G139" s="29" t="str">
        <x:f>IF(A139="","",WBS!E139)</x:f>
      </x:c>
      <x:c r="H139" s="30" t="str">
        <x:f>IF(A139="","",WBS!J139)</x:f>
      </x:c>
    </x:row>
    <x:row r="140">
      <x:c r="A140" t="str">
        <x:f>IF(WBS!A140="","",WBS!A140)</x:f>
      </x:c>
      <x:c r="B140" t="str">
        <x:f>IF(A140="","",WBS!C140)</x:f>
      </x:c>
      <x:c r="C140" t="str">
        <x:f>IF(A140="","",WBS!D140)</x:f>
      </x:c>
      <x:c r="D140" s="29" t="str">
        <x:f>IF(OR(A140="",Setup!$B$7="",Setup!$B$8="",Setup!$B$8&lt;Setup!$B$7),"",SUMIFS(Daily!$G$7:$G$206,Daily!$Q$7:$Q$206,"Matched",Daily!$P$7:$P$206,"&lt;&gt;Duplicate event ID",Daily!$G$7:$G$206,"&gt;=0",Daily!$C$7:$C$206,A140,Daily!$B$7:$B$206,Setup!$B$4,Daily!$D$7:$D$206,"&gt;="&amp;Setup!$B$7,Daily!$D$7:$D$206,"&lt;="&amp;Setup!$B$8))</x:f>
      </x:c>
      <x:c r="E140" s="29" t="str">
        <x:f>IF(OR(A140="",Setup!$B$7="",Setup!$B$8="",Setup!$B$8&lt;Setup!$B$7),"",SUMIFS(Daily!$H$7:$H$206,Daily!$C$7:$C$206,A140,Daily!$B$7:$B$206,Setup!$B$4,Daily!$I$7:$I$206,"Accepted",Daily!$P$7:$P$206,"Recorded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0" s="29" t="str">
        <x:f>IF(A140="","",WBS!I140)</x:f>
      </x:c>
      <x:c r="G140" s="29" t="str">
        <x:f>IF(A140="","",WBS!E140)</x:f>
      </x:c>
      <x:c r="H140" s="30" t="str">
        <x:f>IF(A140="","",WBS!J140)</x:f>
      </x:c>
    </x:row>
    <x:row r="141">
      <x:c r="A141" t="str">
        <x:f>IF(WBS!A141="","",WBS!A141)</x:f>
      </x:c>
      <x:c r="B141" t="str">
        <x:f>IF(A141="","",WBS!C141)</x:f>
      </x:c>
      <x:c r="C141" t="str">
        <x:f>IF(A141="","",WBS!D141)</x:f>
      </x:c>
      <x:c r="D141" s="29" t="str">
        <x:f>IF(OR(A141="",Setup!$B$7="",Setup!$B$8="",Setup!$B$8&lt;Setup!$B$7),"",SUMIFS(Daily!$G$7:$G$206,Daily!$Q$7:$Q$206,"Matched",Daily!$P$7:$P$206,"&lt;&gt;Duplicate event ID",Daily!$G$7:$G$206,"&gt;=0",Daily!$C$7:$C$206,A141,Daily!$B$7:$B$206,Setup!$B$4,Daily!$D$7:$D$206,"&gt;="&amp;Setup!$B$7,Daily!$D$7:$D$206,"&lt;="&amp;Setup!$B$8))</x:f>
      </x:c>
      <x:c r="E141" s="29" t="str">
        <x:f>IF(OR(A141="",Setup!$B$7="",Setup!$B$8="",Setup!$B$8&lt;Setup!$B$7),"",SUMIFS(Daily!$H$7:$H$206,Daily!$C$7:$C$206,A141,Daily!$B$7:$B$206,Setup!$B$4,Daily!$I$7:$I$206,"Accepted",Daily!$P$7:$P$206,"Recorded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1" s="29" t="str">
        <x:f>IF(A141="","",WBS!I141)</x:f>
      </x:c>
      <x:c r="G141" s="29" t="str">
        <x:f>IF(A141="","",WBS!E141)</x:f>
      </x:c>
      <x:c r="H141" s="30" t="str">
        <x:f>IF(A141="","",WBS!J141)</x:f>
      </x:c>
    </x:row>
    <x:row r="142">
      <x:c r="A142" t="str">
        <x:f>IF(WBS!A142="","",WBS!A142)</x:f>
      </x:c>
      <x:c r="B142" t="str">
        <x:f>IF(A142="","",WBS!C142)</x:f>
      </x:c>
      <x:c r="C142" t="str">
        <x:f>IF(A142="","",WBS!D142)</x:f>
      </x:c>
      <x:c r="D142" s="29" t="str">
        <x:f>IF(OR(A142="",Setup!$B$7="",Setup!$B$8="",Setup!$B$8&lt;Setup!$B$7),"",SUMIFS(Daily!$G$7:$G$206,Daily!$Q$7:$Q$206,"Matched",Daily!$P$7:$P$206,"&lt;&gt;Duplicate event ID",Daily!$G$7:$G$206,"&gt;=0",Daily!$C$7:$C$206,A142,Daily!$B$7:$B$206,Setup!$B$4,Daily!$D$7:$D$206,"&gt;="&amp;Setup!$B$7,Daily!$D$7:$D$206,"&lt;="&amp;Setup!$B$8))</x:f>
      </x:c>
      <x:c r="E142" s="29" t="str">
        <x:f>IF(OR(A142="",Setup!$B$7="",Setup!$B$8="",Setup!$B$8&lt;Setup!$B$7),"",SUMIFS(Daily!$H$7:$H$206,Daily!$C$7:$C$206,A142,Daily!$B$7:$B$206,Setup!$B$4,Daily!$I$7:$I$206,"Accepted",Daily!$P$7:$P$206,"Recorded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2" s="29" t="str">
        <x:f>IF(A142="","",WBS!I142)</x:f>
      </x:c>
      <x:c r="G142" s="29" t="str">
        <x:f>IF(A142="","",WBS!E142)</x:f>
      </x:c>
      <x:c r="H142" s="30" t="str">
        <x:f>IF(A142="","",WBS!J142)</x:f>
      </x:c>
    </x:row>
    <x:row r="143">
      <x:c r="A143" t="str">
        <x:f>IF(WBS!A143="","",WBS!A143)</x:f>
      </x:c>
      <x:c r="B143" t="str">
        <x:f>IF(A143="","",WBS!C143)</x:f>
      </x:c>
      <x:c r="C143" t="str">
        <x:f>IF(A143="","",WBS!D143)</x:f>
      </x:c>
      <x:c r="D143" s="29" t="str">
        <x:f>IF(OR(A143="",Setup!$B$7="",Setup!$B$8="",Setup!$B$8&lt;Setup!$B$7),"",SUMIFS(Daily!$G$7:$G$206,Daily!$Q$7:$Q$206,"Matched",Daily!$P$7:$P$206,"&lt;&gt;Duplicate event ID",Daily!$G$7:$G$206,"&gt;=0",Daily!$C$7:$C$206,A143,Daily!$B$7:$B$206,Setup!$B$4,Daily!$D$7:$D$206,"&gt;="&amp;Setup!$B$7,Daily!$D$7:$D$206,"&lt;="&amp;Setup!$B$8))</x:f>
      </x:c>
      <x:c r="E143" s="29" t="str">
        <x:f>IF(OR(A143="",Setup!$B$7="",Setup!$B$8="",Setup!$B$8&lt;Setup!$B$7),"",SUMIFS(Daily!$H$7:$H$206,Daily!$C$7:$C$206,A143,Daily!$B$7:$B$206,Setup!$B$4,Daily!$I$7:$I$206,"Accepted",Daily!$P$7:$P$206,"Recorded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3" s="29" t="str">
        <x:f>IF(A143="","",WBS!I143)</x:f>
      </x:c>
      <x:c r="G143" s="29" t="str">
        <x:f>IF(A143="","",WBS!E143)</x:f>
      </x:c>
      <x:c r="H143" s="30" t="str">
        <x:f>IF(A143="","",WBS!J143)</x:f>
      </x:c>
    </x:row>
    <x:row r="144">
      <x:c r="A144" t="str">
        <x:f>IF(WBS!A144="","",WBS!A144)</x:f>
      </x:c>
      <x:c r="B144" t="str">
        <x:f>IF(A144="","",WBS!C144)</x:f>
      </x:c>
      <x:c r="C144" t="str">
        <x:f>IF(A144="","",WBS!D144)</x:f>
      </x:c>
      <x:c r="D144" s="29" t="str">
        <x:f>IF(OR(A144="",Setup!$B$7="",Setup!$B$8="",Setup!$B$8&lt;Setup!$B$7),"",SUMIFS(Daily!$G$7:$G$206,Daily!$Q$7:$Q$206,"Matched",Daily!$P$7:$P$206,"&lt;&gt;Duplicate event ID",Daily!$G$7:$G$206,"&gt;=0",Daily!$C$7:$C$206,A144,Daily!$B$7:$B$206,Setup!$B$4,Daily!$D$7:$D$206,"&gt;="&amp;Setup!$B$7,Daily!$D$7:$D$206,"&lt;="&amp;Setup!$B$8))</x:f>
      </x:c>
      <x:c r="E144" s="29" t="str">
        <x:f>IF(OR(A144="",Setup!$B$7="",Setup!$B$8="",Setup!$B$8&lt;Setup!$B$7),"",SUMIFS(Daily!$H$7:$H$206,Daily!$C$7:$C$206,A144,Daily!$B$7:$B$206,Setup!$B$4,Daily!$I$7:$I$206,"Accepted",Daily!$P$7:$P$206,"Recorded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4" s="29" t="str">
        <x:f>IF(A144="","",WBS!I144)</x:f>
      </x:c>
      <x:c r="G144" s="29" t="str">
        <x:f>IF(A144="","",WBS!E144)</x:f>
      </x:c>
      <x:c r="H144" s="30" t="str">
        <x:f>IF(A144="","",WBS!J144)</x:f>
      </x:c>
    </x:row>
    <x:row r="145">
      <x:c r="A145" t="str">
        <x:f>IF(WBS!A145="","",WBS!A145)</x:f>
      </x:c>
      <x:c r="B145" t="str">
        <x:f>IF(A145="","",WBS!C145)</x:f>
      </x:c>
      <x:c r="C145" t="str">
        <x:f>IF(A145="","",WBS!D145)</x:f>
      </x:c>
      <x:c r="D145" s="29" t="str">
        <x:f>IF(OR(A145="",Setup!$B$7="",Setup!$B$8="",Setup!$B$8&lt;Setup!$B$7),"",SUMIFS(Daily!$G$7:$G$206,Daily!$Q$7:$Q$206,"Matched",Daily!$P$7:$P$206,"&lt;&gt;Duplicate event ID",Daily!$G$7:$G$206,"&gt;=0",Daily!$C$7:$C$206,A145,Daily!$B$7:$B$206,Setup!$B$4,Daily!$D$7:$D$206,"&gt;="&amp;Setup!$B$7,Daily!$D$7:$D$206,"&lt;="&amp;Setup!$B$8))</x:f>
      </x:c>
      <x:c r="E145" s="29" t="str">
        <x:f>IF(OR(A145="",Setup!$B$7="",Setup!$B$8="",Setup!$B$8&lt;Setup!$B$7),"",SUMIFS(Daily!$H$7:$H$206,Daily!$C$7:$C$206,A145,Daily!$B$7:$B$206,Setup!$B$4,Daily!$I$7:$I$206,"Accepted",Daily!$P$7:$P$206,"Recorded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5" s="29" t="str">
        <x:f>IF(A145="","",WBS!I145)</x:f>
      </x:c>
      <x:c r="G145" s="29" t="str">
        <x:f>IF(A145="","",WBS!E145)</x:f>
      </x:c>
      <x:c r="H145" s="30" t="str">
        <x:f>IF(A145="","",WBS!J145)</x:f>
      </x:c>
    </x:row>
    <x:row r="146">
      <x:c r="A146" t="str">
        <x:f>IF(WBS!A146="","",WBS!A146)</x:f>
      </x:c>
      <x:c r="B146" t="str">
        <x:f>IF(A146="","",WBS!C146)</x:f>
      </x:c>
      <x:c r="C146" t="str">
        <x:f>IF(A146="","",WBS!D146)</x:f>
      </x:c>
      <x:c r="D146" s="29" t="str">
        <x:f>IF(OR(A146="",Setup!$B$7="",Setup!$B$8="",Setup!$B$8&lt;Setup!$B$7),"",SUMIFS(Daily!$G$7:$G$206,Daily!$Q$7:$Q$206,"Matched",Daily!$P$7:$P$206,"&lt;&gt;Duplicate event ID",Daily!$G$7:$G$206,"&gt;=0",Daily!$C$7:$C$206,A146,Daily!$B$7:$B$206,Setup!$B$4,Daily!$D$7:$D$206,"&gt;="&amp;Setup!$B$7,Daily!$D$7:$D$206,"&lt;="&amp;Setup!$B$8))</x:f>
      </x:c>
      <x:c r="E146" s="29" t="str">
        <x:f>IF(OR(A146="",Setup!$B$7="",Setup!$B$8="",Setup!$B$8&lt;Setup!$B$7),"",SUMIFS(Daily!$H$7:$H$206,Daily!$C$7:$C$206,A146,Daily!$B$7:$B$206,Setup!$B$4,Daily!$I$7:$I$206,"Accepted",Daily!$P$7:$P$206,"Recorded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6" s="29" t="str">
        <x:f>IF(A146="","",WBS!I146)</x:f>
      </x:c>
      <x:c r="G146" s="29" t="str">
        <x:f>IF(A146="","",WBS!E146)</x:f>
      </x:c>
      <x:c r="H146" s="30" t="str">
        <x:f>IF(A146="","",WBS!J146)</x:f>
      </x:c>
    </x:row>
    <x:row r="147">
      <x:c r="A147" t="str">
        <x:f>IF(WBS!A147="","",WBS!A147)</x:f>
      </x:c>
      <x:c r="B147" t="str">
        <x:f>IF(A147="","",WBS!C147)</x:f>
      </x:c>
      <x:c r="C147" t="str">
        <x:f>IF(A147="","",WBS!D147)</x:f>
      </x:c>
      <x:c r="D147" s="29" t="str">
        <x:f>IF(OR(A147="",Setup!$B$7="",Setup!$B$8="",Setup!$B$8&lt;Setup!$B$7),"",SUMIFS(Daily!$G$7:$G$206,Daily!$Q$7:$Q$206,"Matched",Daily!$P$7:$P$206,"&lt;&gt;Duplicate event ID",Daily!$G$7:$G$206,"&gt;=0",Daily!$C$7:$C$206,A147,Daily!$B$7:$B$206,Setup!$B$4,Daily!$D$7:$D$206,"&gt;="&amp;Setup!$B$7,Daily!$D$7:$D$206,"&lt;="&amp;Setup!$B$8))</x:f>
      </x:c>
      <x:c r="E147" s="29" t="str">
        <x:f>IF(OR(A147="",Setup!$B$7="",Setup!$B$8="",Setup!$B$8&lt;Setup!$B$7),"",SUMIFS(Daily!$H$7:$H$206,Daily!$C$7:$C$206,A147,Daily!$B$7:$B$206,Setup!$B$4,Daily!$I$7:$I$206,"Accepted",Daily!$P$7:$P$206,"Recorded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7" s="29" t="str">
        <x:f>IF(A147="","",WBS!I147)</x:f>
      </x:c>
      <x:c r="G147" s="29" t="str">
        <x:f>IF(A147="","",WBS!E147)</x:f>
      </x:c>
      <x:c r="H147" s="30" t="str">
        <x:f>IF(A147="","",WBS!J147)</x:f>
      </x:c>
    </x:row>
    <x:row r="148">
      <x:c r="A148" t="str">
        <x:f>IF(WBS!A148="","",WBS!A148)</x:f>
      </x:c>
      <x:c r="B148" t="str">
        <x:f>IF(A148="","",WBS!C148)</x:f>
      </x:c>
      <x:c r="C148" t="str">
        <x:f>IF(A148="","",WBS!D148)</x:f>
      </x:c>
      <x:c r="D148" s="29" t="str">
        <x:f>IF(OR(A148="",Setup!$B$7="",Setup!$B$8="",Setup!$B$8&lt;Setup!$B$7),"",SUMIFS(Daily!$G$7:$G$206,Daily!$Q$7:$Q$206,"Matched",Daily!$P$7:$P$206,"&lt;&gt;Duplicate event ID",Daily!$G$7:$G$206,"&gt;=0",Daily!$C$7:$C$206,A148,Daily!$B$7:$B$206,Setup!$B$4,Daily!$D$7:$D$206,"&gt;="&amp;Setup!$B$7,Daily!$D$7:$D$206,"&lt;="&amp;Setup!$B$8))</x:f>
      </x:c>
      <x:c r="E148" s="29" t="str">
        <x:f>IF(OR(A148="",Setup!$B$7="",Setup!$B$8="",Setup!$B$8&lt;Setup!$B$7),"",SUMIFS(Daily!$H$7:$H$206,Daily!$C$7:$C$206,A148,Daily!$B$7:$B$206,Setup!$B$4,Daily!$I$7:$I$206,"Accepted",Daily!$P$7:$P$206,"Recorded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8" s="29" t="str">
        <x:f>IF(A148="","",WBS!I148)</x:f>
      </x:c>
      <x:c r="G148" s="29" t="str">
        <x:f>IF(A148="","",WBS!E148)</x:f>
      </x:c>
      <x:c r="H148" s="30" t="str">
        <x:f>IF(A148="","",WBS!J148)</x:f>
      </x:c>
    </x:row>
    <x:row r="149">
      <x:c r="A149" t="str">
        <x:f>IF(WBS!A149="","",WBS!A149)</x:f>
      </x:c>
      <x:c r="B149" t="str">
        <x:f>IF(A149="","",WBS!C149)</x:f>
      </x:c>
      <x:c r="C149" t="str">
        <x:f>IF(A149="","",WBS!D149)</x:f>
      </x:c>
      <x:c r="D149" s="29" t="str">
        <x:f>IF(OR(A149="",Setup!$B$7="",Setup!$B$8="",Setup!$B$8&lt;Setup!$B$7),"",SUMIFS(Daily!$G$7:$G$206,Daily!$Q$7:$Q$206,"Matched",Daily!$P$7:$P$206,"&lt;&gt;Duplicate event ID",Daily!$G$7:$G$206,"&gt;=0",Daily!$C$7:$C$206,A149,Daily!$B$7:$B$206,Setup!$B$4,Daily!$D$7:$D$206,"&gt;="&amp;Setup!$B$7,Daily!$D$7:$D$206,"&lt;="&amp;Setup!$B$8))</x:f>
      </x:c>
      <x:c r="E149" s="29" t="str">
        <x:f>IF(OR(A149="",Setup!$B$7="",Setup!$B$8="",Setup!$B$8&lt;Setup!$B$7),"",SUMIFS(Daily!$H$7:$H$206,Daily!$C$7:$C$206,A149,Daily!$B$7:$B$206,Setup!$B$4,Daily!$I$7:$I$206,"Accepted",Daily!$P$7:$P$206,"Recorded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9" s="29" t="str">
        <x:f>IF(A149="","",WBS!I149)</x:f>
      </x:c>
      <x:c r="G149" s="29" t="str">
        <x:f>IF(A149="","",WBS!E149)</x:f>
      </x:c>
      <x:c r="H149" s="30" t="str">
        <x:f>IF(A149="","",WBS!J149)</x:f>
      </x:c>
    </x:row>
    <x:row r="150">
      <x:c r="A150" t="str">
        <x:f>IF(WBS!A150="","",WBS!A150)</x:f>
      </x:c>
      <x:c r="B150" t="str">
        <x:f>IF(A150="","",WBS!C150)</x:f>
      </x:c>
      <x:c r="C150" t="str">
        <x:f>IF(A150="","",WBS!D150)</x:f>
      </x:c>
      <x:c r="D150" s="29" t="str">
        <x:f>IF(OR(A150="",Setup!$B$7="",Setup!$B$8="",Setup!$B$8&lt;Setup!$B$7),"",SUMIFS(Daily!$G$7:$G$206,Daily!$Q$7:$Q$206,"Matched",Daily!$P$7:$P$206,"&lt;&gt;Duplicate event ID",Daily!$G$7:$G$206,"&gt;=0",Daily!$C$7:$C$206,A150,Daily!$B$7:$B$206,Setup!$B$4,Daily!$D$7:$D$206,"&gt;="&amp;Setup!$B$7,Daily!$D$7:$D$206,"&lt;="&amp;Setup!$B$8))</x:f>
      </x:c>
      <x:c r="E150" s="29" t="str">
        <x:f>IF(OR(A150="",Setup!$B$7="",Setup!$B$8="",Setup!$B$8&lt;Setup!$B$7),"",SUMIFS(Daily!$H$7:$H$206,Daily!$C$7:$C$206,A150,Daily!$B$7:$B$206,Setup!$B$4,Daily!$I$7:$I$206,"Accepted",Daily!$P$7:$P$206,"Recorded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0" s="29" t="str">
        <x:f>IF(A150="","",WBS!I150)</x:f>
      </x:c>
      <x:c r="G150" s="29" t="str">
        <x:f>IF(A150="","",WBS!E150)</x:f>
      </x:c>
      <x:c r="H150" s="30" t="str">
        <x:f>IF(A150="","",WBS!J150)</x:f>
      </x:c>
    </x:row>
    <x:row r="151">
      <x:c r="A151" t="str">
        <x:f>IF(WBS!A151="","",WBS!A151)</x:f>
      </x:c>
      <x:c r="B151" t="str">
        <x:f>IF(A151="","",WBS!C151)</x:f>
      </x:c>
      <x:c r="C151" t="str">
        <x:f>IF(A151="","",WBS!D151)</x:f>
      </x:c>
      <x:c r="D151" s="29" t="str">
        <x:f>IF(OR(A151="",Setup!$B$7="",Setup!$B$8="",Setup!$B$8&lt;Setup!$B$7),"",SUMIFS(Daily!$G$7:$G$206,Daily!$Q$7:$Q$206,"Matched",Daily!$P$7:$P$206,"&lt;&gt;Duplicate event ID",Daily!$G$7:$G$206,"&gt;=0",Daily!$C$7:$C$206,A151,Daily!$B$7:$B$206,Setup!$B$4,Daily!$D$7:$D$206,"&gt;="&amp;Setup!$B$7,Daily!$D$7:$D$206,"&lt;="&amp;Setup!$B$8))</x:f>
      </x:c>
      <x:c r="E151" s="29" t="str">
        <x:f>IF(OR(A151="",Setup!$B$7="",Setup!$B$8="",Setup!$B$8&lt;Setup!$B$7),"",SUMIFS(Daily!$H$7:$H$206,Daily!$C$7:$C$206,A151,Daily!$B$7:$B$206,Setup!$B$4,Daily!$I$7:$I$206,"Accepted",Daily!$P$7:$P$206,"Recorded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1" s="29" t="str">
        <x:f>IF(A151="","",WBS!I151)</x:f>
      </x:c>
      <x:c r="G151" s="29" t="str">
        <x:f>IF(A151="","",WBS!E151)</x:f>
      </x:c>
      <x:c r="H151" s="30" t="str">
        <x:f>IF(A151="","",WBS!J151)</x:f>
      </x:c>
    </x:row>
    <x:row r="152">
      <x:c r="A152" t="str">
        <x:f>IF(WBS!A152="","",WBS!A152)</x:f>
      </x:c>
      <x:c r="B152" t="str">
        <x:f>IF(A152="","",WBS!C152)</x:f>
      </x:c>
      <x:c r="C152" t="str">
        <x:f>IF(A152="","",WBS!D152)</x:f>
      </x:c>
      <x:c r="D152" s="29" t="str">
        <x:f>IF(OR(A152="",Setup!$B$7="",Setup!$B$8="",Setup!$B$8&lt;Setup!$B$7),"",SUMIFS(Daily!$G$7:$G$206,Daily!$Q$7:$Q$206,"Matched",Daily!$P$7:$P$206,"&lt;&gt;Duplicate event ID",Daily!$G$7:$G$206,"&gt;=0",Daily!$C$7:$C$206,A152,Daily!$B$7:$B$206,Setup!$B$4,Daily!$D$7:$D$206,"&gt;="&amp;Setup!$B$7,Daily!$D$7:$D$206,"&lt;="&amp;Setup!$B$8))</x:f>
      </x:c>
      <x:c r="E152" s="29" t="str">
        <x:f>IF(OR(A152="",Setup!$B$7="",Setup!$B$8="",Setup!$B$8&lt;Setup!$B$7),"",SUMIFS(Daily!$H$7:$H$206,Daily!$C$7:$C$206,A152,Daily!$B$7:$B$206,Setup!$B$4,Daily!$I$7:$I$206,"Accepted",Daily!$P$7:$P$206,"Recorded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2" s="29" t="str">
        <x:f>IF(A152="","",WBS!I152)</x:f>
      </x:c>
      <x:c r="G152" s="29" t="str">
        <x:f>IF(A152="","",WBS!E152)</x:f>
      </x:c>
      <x:c r="H152" s="30" t="str">
        <x:f>IF(A152="","",WBS!J152)</x:f>
      </x:c>
    </x:row>
    <x:row r="153">
      <x:c r="A153" t="str">
        <x:f>IF(WBS!A153="","",WBS!A153)</x:f>
      </x:c>
      <x:c r="B153" t="str">
        <x:f>IF(A153="","",WBS!C153)</x:f>
      </x:c>
      <x:c r="C153" t="str">
        <x:f>IF(A153="","",WBS!D153)</x:f>
      </x:c>
      <x:c r="D153" s="29" t="str">
        <x:f>IF(OR(A153="",Setup!$B$7="",Setup!$B$8="",Setup!$B$8&lt;Setup!$B$7),"",SUMIFS(Daily!$G$7:$G$206,Daily!$Q$7:$Q$206,"Matched",Daily!$P$7:$P$206,"&lt;&gt;Duplicate event ID",Daily!$G$7:$G$206,"&gt;=0",Daily!$C$7:$C$206,A153,Daily!$B$7:$B$206,Setup!$B$4,Daily!$D$7:$D$206,"&gt;="&amp;Setup!$B$7,Daily!$D$7:$D$206,"&lt;="&amp;Setup!$B$8))</x:f>
      </x:c>
      <x:c r="E153" s="29" t="str">
        <x:f>IF(OR(A153="",Setup!$B$7="",Setup!$B$8="",Setup!$B$8&lt;Setup!$B$7),"",SUMIFS(Daily!$H$7:$H$206,Daily!$C$7:$C$206,A153,Daily!$B$7:$B$206,Setup!$B$4,Daily!$I$7:$I$206,"Accepted",Daily!$P$7:$P$206,"Recorded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3" s="29" t="str">
        <x:f>IF(A153="","",WBS!I153)</x:f>
      </x:c>
      <x:c r="G153" s="29" t="str">
        <x:f>IF(A153="","",WBS!E153)</x:f>
      </x:c>
      <x:c r="H153" s="30" t="str">
        <x:f>IF(A153="","",WBS!J153)</x:f>
      </x:c>
    </x:row>
    <x:row r="154">
      <x:c r="A154" t="str">
        <x:f>IF(WBS!A154="","",WBS!A154)</x:f>
      </x:c>
      <x:c r="B154" t="str">
        <x:f>IF(A154="","",WBS!C154)</x:f>
      </x:c>
      <x:c r="C154" t="str">
        <x:f>IF(A154="","",WBS!D154)</x:f>
      </x:c>
      <x:c r="D154" s="29" t="str">
        <x:f>IF(OR(A154="",Setup!$B$7="",Setup!$B$8="",Setup!$B$8&lt;Setup!$B$7),"",SUMIFS(Daily!$G$7:$G$206,Daily!$Q$7:$Q$206,"Matched",Daily!$P$7:$P$206,"&lt;&gt;Duplicate event ID",Daily!$G$7:$G$206,"&gt;=0",Daily!$C$7:$C$206,A154,Daily!$B$7:$B$206,Setup!$B$4,Daily!$D$7:$D$206,"&gt;="&amp;Setup!$B$7,Daily!$D$7:$D$206,"&lt;="&amp;Setup!$B$8))</x:f>
      </x:c>
      <x:c r="E154" s="29" t="str">
        <x:f>IF(OR(A154="",Setup!$B$7="",Setup!$B$8="",Setup!$B$8&lt;Setup!$B$7),"",SUMIFS(Daily!$H$7:$H$206,Daily!$C$7:$C$206,A154,Daily!$B$7:$B$206,Setup!$B$4,Daily!$I$7:$I$206,"Accepted",Daily!$P$7:$P$206,"Recorded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4" s="29" t="str">
        <x:f>IF(A154="","",WBS!I154)</x:f>
      </x:c>
      <x:c r="G154" s="29" t="str">
        <x:f>IF(A154="","",WBS!E154)</x:f>
      </x:c>
      <x:c r="H154" s="30" t="str">
        <x:f>IF(A154="","",WBS!J154)</x:f>
      </x:c>
    </x:row>
    <x:row r="155">
      <x:c r="A155" t="str">
        <x:f>IF(WBS!A155="","",WBS!A155)</x:f>
      </x:c>
      <x:c r="B155" t="str">
        <x:f>IF(A155="","",WBS!C155)</x:f>
      </x:c>
      <x:c r="C155" t="str">
        <x:f>IF(A155="","",WBS!D155)</x:f>
      </x:c>
      <x:c r="D155" s="29" t="str">
        <x:f>IF(OR(A155="",Setup!$B$7="",Setup!$B$8="",Setup!$B$8&lt;Setup!$B$7),"",SUMIFS(Daily!$G$7:$G$206,Daily!$Q$7:$Q$206,"Matched",Daily!$P$7:$P$206,"&lt;&gt;Duplicate event ID",Daily!$G$7:$G$206,"&gt;=0",Daily!$C$7:$C$206,A155,Daily!$B$7:$B$206,Setup!$B$4,Daily!$D$7:$D$206,"&gt;="&amp;Setup!$B$7,Daily!$D$7:$D$206,"&lt;="&amp;Setup!$B$8))</x:f>
      </x:c>
      <x:c r="E155" s="29" t="str">
        <x:f>IF(OR(A155="",Setup!$B$7="",Setup!$B$8="",Setup!$B$8&lt;Setup!$B$7),"",SUMIFS(Daily!$H$7:$H$206,Daily!$C$7:$C$206,A155,Daily!$B$7:$B$206,Setup!$B$4,Daily!$I$7:$I$206,"Accepted",Daily!$P$7:$P$206,"Recorded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5" s="29" t="str">
        <x:f>IF(A155="","",WBS!I155)</x:f>
      </x:c>
      <x:c r="G155" s="29" t="str">
        <x:f>IF(A155="","",WBS!E155)</x:f>
      </x:c>
      <x:c r="H155" s="30" t="str">
        <x:f>IF(A155="","",WBS!J155)</x:f>
      </x:c>
    </x:row>
    <x:row r="156">
      <x:c r="A156" t="str">
        <x:f>IF(WBS!A156="","",WBS!A156)</x:f>
      </x:c>
      <x:c r="B156" t="str">
        <x:f>IF(A156="","",WBS!C156)</x:f>
      </x:c>
      <x:c r="C156" t="str">
        <x:f>IF(A156="","",WBS!D156)</x:f>
      </x:c>
      <x:c r="D156" s="29" t="str">
        <x:f>IF(OR(A156="",Setup!$B$7="",Setup!$B$8="",Setup!$B$8&lt;Setup!$B$7),"",SUMIFS(Daily!$G$7:$G$206,Daily!$Q$7:$Q$206,"Matched",Daily!$P$7:$P$206,"&lt;&gt;Duplicate event ID",Daily!$G$7:$G$206,"&gt;=0",Daily!$C$7:$C$206,A156,Daily!$B$7:$B$206,Setup!$B$4,Daily!$D$7:$D$206,"&gt;="&amp;Setup!$B$7,Daily!$D$7:$D$206,"&lt;="&amp;Setup!$B$8))</x:f>
      </x:c>
      <x:c r="E156" s="29" t="str">
        <x:f>IF(OR(A156="",Setup!$B$7="",Setup!$B$8="",Setup!$B$8&lt;Setup!$B$7),"",SUMIFS(Daily!$H$7:$H$206,Daily!$C$7:$C$206,A156,Daily!$B$7:$B$206,Setup!$B$4,Daily!$I$7:$I$206,"Accepted",Daily!$P$7:$P$206,"Recorded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6" s="29" t="str">
        <x:f>IF(A156="","",WBS!I156)</x:f>
      </x:c>
      <x:c r="G156" s="29" t="str">
        <x:f>IF(A156="","",WBS!E156)</x:f>
      </x:c>
      <x:c r="H156" s="30" t="str">
        <x:f>IF(A156="","",WBS!J156)</x:f>
      </x:c>
    </x:row>
    <x:row r="157">
      <x:c r="A157" t="str">
        <x:f>IF(WBS!A157="","",WBS!A157)</x:f>
      </x:c>
      <x:c r="B157" t="str">
        <x:f>IF(A157="","",WBS!C157)</x:f>
      </x:c>
      <x:c r="C157" t="str">
        <x:f>IF(A157="","",WBS!D157)</x:f>
      </x:c>
      <x:c r="D157" s="29" t="str">
        <x:f>IF(OR(A157="",Setup!$B$7="",Setup!$B$8="",Setup!$B$8&lt;Setup!$B$7),"",SUMIFS(Daily!$G$7:$G$206,Daily!$Q$7:$Q$206,"Matched",Daily!$P$7:$P$206,"&lt;&gt;Duplicate event ID",Daily!$G$7:$G$206,"&gt;=0",Daily!$C$7:$C$206,A157,Daily!$B$7:$B$206,Setup!$B$4,Daily!$D$7:$D$206,"&gt;="&amp;Setup!$B$7,Daily!$D$7:$D$206,"&lt;="&amp;Setup!$B$8))</x:f>
      </x:c>
      <x:c r="E157" s="29" t="str">
        <x:f>IF(OR(A157="",Setup!$B$7="",Setup!$B$8="",Setup!$B$8&lt;Setup!$B$7),"",SUMIFS(Daily!$H$7:$H$206,Daily!$C$7:$C$206,A157,Daily!$B$7:$B$206,Setup!$B$4,Daily!$I$7:$I$206,"Accepted",Daily!$P$7:$P$206,"Recorded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7" s="29" t="str">
        <x:f>IF(A157="","",WBS!I157)</x:f>
      </x:c>
      <x:c r="G157" s="29" t="str">
        <x:f>IF(A157="","",WBS!E157)</x:f>
      </x:c>
      <x:c r="H157" s="30" t="str">
        <x:f>IF(A157="","",WBS!J157)</x:f>
      </x:c>
    </x:row>
    <x:row r="158">
      <x:c r="A158" t="str">
        <x:f>IF(WBS!A158="","",WBS!A158)</x:f>
      </x:c>
      <x:c r="B158" t="str">
        <x:f>IF(A158="","",WBS!C158)</x:f>
      </x:c>
      <x:c r="C158" t="str">
        <x:f>IF(A158="","",WBS!D158)</x:f>
      </x:c>
      <x:c r="D158" s="29" t="str">
        <x:f>IF(OR(A158="",Setup!$B$7="",Setup!$B$8="",Setup!$B$8&lt;Setup!$B$7),"",SUMIFS(Daily!$G$7:$G$206,Daily!$Q$7:$Q$206,"Matched",Daily!$P$7:$P$206,"&lt;&gt;Duplicate event ID",Daily!$G$7:$G$206,"&gt;=0",Daily!$C$7:$C$206,A158,Daily!$B$7:$B$206,Setup!$B$4,Daily!$D$7:$D$206,"&gt;="&amp;Setup!$B$7,Daily!$D$7:$D$206,"&lt;="&amp;Setup!$B$8))</x:f>
      </x:c>
      <x:c r="E158" s="29" t="str">
        <x:f>IF(OR(A158="",Setup!$B$7="",Setup!$B$8="",Setup!$B$8&lt;Setup!$B$7),"",SUMIFS(Daily!$H$7:$H$206,Daily!$C$7:$C$206,A158,Daily!$B$7:$B$206,Setup!$B$4,Daily!$I$7:$I$206,"Accepted",Daily!$P$7:$P$206,"Recorded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8" s="29" t="str">
        <x:f>IF(A158="","",WBS!I158)</x:f>
      </x:c>
      <x:c r="G158" s="29" t="str">
        <x:f>IF(A158="","",WBS!E158)</x:f>
      </x:c>
      <x:c r="H158" s="30" t="str">
        <x:f>IF(A158="","",WBS!J158)</x:f>
      </x:c>
    </x:row>
    <x:row r="159">
      <x:c r="A159" t="str">
        <x:f>IF(WBS!A159="","",WBS!A159)</x:f>
      </x:c>
      <x:c r="B159" t="str">
        <x:f>IF(A159="","",WBS!C159)</x:f>
      </x:c>
      <x:c r="C159" t="str">
        <x:f>IF(A159="","",WBS!D159)</x:f>
      </x:c>
      <x:c r="D159" s="29" t="str">
        <x:f>IF(OR(A159="",Setup!$B$7="",Setup!$B$8="",Setup!$B$8&lt;Setup!$B$7),"",SUMIFS(Daily!$G$7:$G$206,Daily!$Q$7:$Q$206,"Matched",Daily!$P$7:$P$206,"&lt;&gt;Duplicate event ID",Daily!$G$7:$G$206,"&gt;=0",Daily!$C$7:$C$206,A159,Daily!$B$7:$B$206,Setup!$B$4,Daily!$D$7:$D$206,"&gt;="&amp;Setup!$B$7,Daily!$D$7:$D$206,"&lt;="&amp;Setup!$B$8))</x:f>
      </x:c>
      <x:c r="E159" s="29" t="str">
        <x:f>IF(OR(A159="",Setup!$B$7="",Setup!$B$8="",Setup!$B$8&lt;Setup!$B$7),"",SUMIFS(Daily!$H$7:$H$206,Daily!$C$7:$C$206,A159,Daily!$B$7:$B$206,Setup!$B$4,Daily!$I$7:$I$206,"Accepted",Daily!$P$7:$P$206,"Recorded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9" s="29" t="str">
        <x:f>IF(A159="","",WBS!I159)</x:f>
      </x:c>
      <x:c r="G159" s="29" t="str">
        <x:f>IF(A159="","",WBS!E159)</x:f>
      </x:c>
      <x:c r="H159" s="30" t="str">
        <x:f>IF(A159="","",WBS!J159)</x:f>
      </x:c>
    </x:row>
    <x:row r="160">
      <x:c r="A160" t="str">
        <x:f>IF(WBS!A160="","",WBS!A160)</x:f>
      </x:c>
      <x:c r="B160" t="str">
        <x:f>IF(A160="","",WBS!C160)</x:f>
      </x:c>
      <x:c r="C160" t="str">
        <x:f>IF(A160="","",WBS!D160)</x:f>
      </x:c>
      <x:c r="D160" s="29" t="str">
        <x:f>IF(OR(A160="",Setup!$B$7="",Setup!$B$8="",Setup!$B$8&lt;Setup!$B$7),"",SUMIFS(Daily!$G$7:$G$206,Daily!$Q$7:$Q$206,"Matched",Daily!$P$7:$P$206,"&lt;&gt;Duplicate event ID",Daily!$G$7:$G$206,"&gt;=0",Daily!$C$7:$C$206,A160,Daily!$B$7:$B$206,Setup!$B$4,Daily!$D$7:$D$206,"&gt;="&amp;Setup!$B$7,Daily!$D$7:$D$206,"&lt;="&amp;Setup!$B$8))</x:f>
      </x:c>
      <x:c r="E160" s="29" t="str">
        <x:f>IF(OR(A160="",Setup!$B$7="",Setup!$B$8="",Setup!$B$8&lt;Setup!$B$7),"",SUMIFS(Daily!$H$7:$H$206,Daily!$C$7:$C$206,A160,Daily!$B$7:$B$206,Setup!$B$4,Daily!$I$7:$I$206,"Accepted",Daily!$P$7:$P$206,"Recorded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0" s="29" t="str">
        <x:f>IF(A160="","",WBS!I160)</x:f>
      </x:c>
      <x:c r="G160" s="29" t="str">
        <x:f>IF(A160="","",WBS!E160)</x:f>
      </x:c>
      <x:c r="H160" s="30" t="str">
        <x:f>IF(A160="","",WBS!J160)</x:f>
      </x:c>
    </x:row>
    <x:row r="161">
      <x:c r="A161" t="str">
        <x:f>IF(WBS!A161="","",WBS!A161)</x:f>
      </x:c>
      <x:c r="B161" t="str">
        <x:f>IF(A161="","",WBS!C161)</x:f>
      </x:c>
      <x:c r="C161" t="str">
        <x:f>IF(A161="","",WBS!D161)</x:f>
      </x:c>
      <x:c r="D161" s="29" t="str">
        <x:f>IF(OR(A161="",Setup!$B$7="",Setup!$B$8="",Setup!$B$8&lt;Setup!$B$7),"",SUMIFS(Daily!$G$7:$G$206,Daily!$Q$7:$Q$206,"Matched",Daily!$P$7:$P$206,"&lt;&gt;Duplicate event ID",Daily!$G$7:$G$206,"&gt;=0",Daily!$C$7:$C$206,A161,Daily!$B$7:$B$206,Setup!$B$4,Daily!$D$7:$D$206,"&gt;="&amp;Setup!$B$7,Daily!$D$7:$D$206,"&lt;="&amp;Setup!$B$8))</x:f>
      </x:c>
      <x:c r="E161" s="29" t="str">
        <x:f>IF(OR(A161="",Setup!$B$7="",Setup!$B$8="",Setup!$B$8&lt;Setup!$B$7),"",SUMIFS(Daily!$H$7:$H$206,Daily!$C$7:$C$206,A161,Daily!$B$7:$B$206,Setup!$B$4,Daily!$I$7:$I$206,"Accepted",Daily!$P$7:$P$206,"Recorded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1" s="29" t="str">
        <x:f>IF(A161="","",WBS!I161)</x:f>
      </x:c>
      <x:c r="G161" s="29" t="str">
        <x:f>IF(A161="","",WBS!E161)</x:f>
      </x:c>
      <x:c r="H161" s="30" t="str">
        <x:f>IF(A161="","",WBS!J161)</x:f>
      </x:c>
    </x:row>
    <x:row r="162">
      <x:c r="A162" t="str">
        <x:f>IF(WBS!A162="","",WBS!A162)</x:f>
      </x:c>
      <x:c r="B162" t="str">
        <x:f>IF(A162="","",WBS!C162)</x:f>
      </x:c>
      <x:c r="C162" t="str">
        <x:f>IF(A162="","",WBS!D162)</x:f>
      </x:c>
      <x:c r="D162" s="29" t="str">
        <x:f>IF(OR(A162="",Setup!$B$7="",Setup!$B$8="",Setup!$B$8&lt;Setup!$B$7),"",SUMIFS(Daily!$G$7:$G$206,Daily!$Q$7:$Q$206,"Matched",Daily!$P$7:$P$206,"&lt;&gt;Duplicate event ID",Daily!$G$7:$G$206,"&gt;=0",Daily!$C$7:$C$206,A162,Daily!$B$7:$B$206,Setup!$B$4,Daily!$D$7:$D$206,"&gt;="&amp;Setup!$B$7,Daily!$D$7:$D$206,"&lt;="&amp;Setup!$B$8))</x:f>
      </x:c>
      <x:c r="E162" s="29" t="str">
        <x:f>IF(OR(A162="",Setup!$B$7="",Setup!$B$8="",Setup!$B$8&lt;Setup!$B$7),"",SUMIFS(Daily!$H$7:$H$206,Daily!$C$7:$C$206,A162,Daily!$B$7:$B$206,Setup!$B$4,Daily!$I$7:$I$206,"Accepted",Daily!$P$7:$P$206,"Recorded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2" s="29" t="str">
        <x:f>IF(A162="","",WBS!I162)</x:f>
      </x:c>
      <x:c r="G162" s="29" t="str">
        <x:f>IF(A162="","",WBS!E162)</x:f>
      </x:c>
      <x:c r="H162" s="30" t="str">
        <x:f>IF(A162="","",WBS!J162)</x:f>
      </x:c>
    </x:row>
    <x:row r="163">
      <x:c r="A163" t="str">
        <x:f>IF(WBS!A163="","",WBS!A163)</x:f>
      </x:c>
      <x:c r="B163" t="str">
        <x:f>IF(A163="","",WBS!C163)</x:f>
      </x:c>
      <x:c r="C163" t="str">
        <x:f>IF(A163="","",WBS!D163)</x:f>
      </x:c>
      <x:c r="D163" s="29" t="str">
        <x:f>IF(OR(A163="",Setup!$B$7="",Setup!$B$8="",Setup!$B$8&lt;Setup!$B$7),"",SUMIFS(Daily!$G$7:$G$206,Daily!$Q$7:$Q$206,"Matched",Daily!$P$7:$P$206,"&lt;&gt;Duplicate event ID",Daily!$G$7:$G$206,"&gt;=0",Daily!$C$7:$C$206,A163,Daily!$B$7:$B$206,Setup!$B$4,Daily!$D$7:$D$206,"&gt;="&amp;Setup!$B$7,Daily!$D$7:$D$206,"&lt;="&amp;Setup!$B$8))</x:f>
      </x:c>
      <x:c r="E163" s="29" t="str">
        <x:f>IF(OR(A163="",Setup!$B$7="",Setup!$B$8="",Setup!$B$8&lt;Setup!$B$7),"",SUMIFS(Daily!$H$7:$H$206,Daily!$C$7:$C$206,A163,Daily!$B$7:$B$206,Setup!$B$4,Daily!$I$7:$I$206,"Accepted",Daily!$P$7:$P$206,"Recorded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3" s="29" t="str">
        <x:f>IF(A163="","",WBS!I163)</x:f>
      </x:c>
      <x:c r="G163" s="29" t="str">
        <x:f>IF(A163="","",WBS!E163)</x:f>
      </x:c>
      <x:c r="H163" s="30" t="str">
        <x:f>IF(A163="","",WBS!J163)</x:f>
      </x:c>
    </x:row>
    <x:row r="164">
      <x:c r="A164" t="str">
        <x:f>IF(WBS!A164="","",WBS!A164)</x:f>
      </x:c>
      <x:c r="B164" t="str">
        <x:f>IF(A164="","",WBS!C164)</x:f>
      </x:c>
      <x:c r="C164" t="str">
        <x:f>IF(A164="","",WBS!D164)</x:f>
      </x:c>
      <x:c r="D164" s="29" t="str">
        <x:f>IF(OR(A164="",Setup!$B$7="",Setup!$B$8="",Setup!$B$8&lt;Setup!$B$7),"",SUMIFS(Daily!$G$7:$G$206,Daily!$Q$7:$Q$206,"Matched",Daily!$P$7:$P$206,"&lt;&gt;Duplicate event ID",Daily!$G$7:$G$206,"&gt;=0",Daily!$C$7:$C$206,A164,Daily!$B$7:$B$206,Setup!$B$4,Daily!$D$7:$D$206,"&gt;="&amp;Setup!$B$7,Daily!$D$7:$D$206,"&lt;="&amp;Setup!$B$8))</x:f>
      </x:c>
      <x:c r="E164" s="29" t="str">
        <x:f>IF(OR(A164="",Setup!$B$7="",Setup!$B$8="",Setup!$B$8&lt;Setup!$B$7),"",SUMIFS(Daily!$H$7:$H$206,Daily!$C$7:$C$206,A164,Daily!$B$7:$B$206,Setup!$B$4,Daily!$I$7:$I$206,"Accepted",Daily!$P$7:$P$206,"Recorded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4" s="29" t="str">
        <x:f>IF(A164="","",WBS!I164)</x:f>
      </x:c>
      <x:c r="G164" s="29" t="str">
        <x:f>IF(A164="","",WBS!E164)</x:f>
      </x:c>
      <x:c r="H164" s="30" t="str">
        <x:f>IF(A164="","",WBS!J164)</x:f>
      </x:c>
    </x:row>
    <x:row r="165">
      <x:c r="A165" t="str">
        <x:f>IF(WBS!A165="","",WBS!A165)</x:f>
      </x:c>
      <x:c r="B165" t="str">
        <x:f>IF(A165="","",WBS!C165)</x:f>
      </x:c>
      <x:c r="C165" t="str">
        <x:f>IF(A165="","",WBS!D165)</x:f>
      </x:c>
      <x:c r="D165" s="29" t="str">
        <x:f>IF(OR(A165="",Setup!$B$7="",Setup!$B$8="",Setup!$B$8&lt;Setup!$B$7),"",SUMIFS(Daily!$G$7:$G$206,Daily!$Q$7:$Q$206,"Matched",Daily!$P$7:$P$206,"&lt;&gt;Duplicate event ID",Daily!$G$7:$G$206,"&gt;=0",Daily!$C$7:$C$206,A165,Daily!$B$7:$B$206,Setup!$B$4,Daily!$D$7:$D$206,"&gt;="&amp;Setup!$B$7,Daily!$D$7:$D$206,"&lt;="&amp;Setup!$B$8))</x:f>
      </x:c>
      <x:c r="E165" s="29" t="str">
        <x:f>IF(OR(A165="",Setup!$B$7="",Setup!$B$8="",Setup!$B$8&lt;Setup!$B$7),"",SUMIFS(Daily!$H$7:$H$206,Daily!$C$7:$C$206,A165,Daily!$B$7:$B$206,Setup!$B$4,Daily!$I$7:$I$206,"Accepted",Daily!$P$7:$P$206,"Recorded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5" s="29" t="str">
        <x:f>IF(A165="","",WBS!I165)</x:f>
      </x:c>
      <x:c r="G165" s="29" t="str">
        <x:f>IF(A165="","",WBS!E165)</x:f>
      </x:c>
      <x:c r="H165" s="30" t="str">
        <x:f>IF(A165="","",WBS!J165)</x:f>
      </x:c>
    </x:row>
    <x:row r="166">
      <x:c r="A166" t="str">
        <x:f>IF(WBS!A166="","",WBS!A166)</x:f>
      </x:c>
      <x:c r="B166" t="str">
        <x:f>IF(A166="","",WBS!C166)</x:f>
      </x:c>
      <x:c r="C166" t="str">
        <x:f>IF(A166="","",WBS!D166)</x:f>
      </x:c>
      <x:c r="D166" s="29" t="str">
        <x:f>IF(OR(A166="",Setup!$B$7="",Setup!$B$8="",Setup!$B$8&lt;Setup!$B$7),"",SUMIFS(Daily!$G$7:$G$206,Daily!$Q$7:$Q$206,"Matched",Daily!$P$7:$P$206,"&lt;&gt;Duplicate event ID",Daily!$G$7:$G$206,"&gt;=0",Daily!$C$7:$C$206,A166,Daily!$B$7:$B$206,Setup!$B$4,Daily!$D$7:$D$206,"&gt;="&amp;Setup!$B$7,Daily!$D$7:$D$206,"&lt;="&amp;Setup!$B$8))</x:f>
      </x:c>
      <x:c r="E166" s="29" t="str">
        <x:f>IF(OR(A166="",Setup!$B$7="",Setup!$B$8="",Setup!$B$8&lt;Setup!$B$7),"",SUMIFS(Daily!$H$7:$H$206,Daily!$C$7:$C$206,A166,Daily!$B$7:$B$206,Setup!$B$4,Daily!$I$7:$I$206,"Accepted",Daily!$P$7:$P$206,"Recorded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6" s="29" t="str">
        <x:f>IF(A166="","",WBS!I166)</x:f>
      </x:c>
      <x:c r="G166" s="29" t="str">
        <x:f>IF(A166="","",WBS!E166)</x:f>
      </x:c>
      <x:c r="H166" s="30" t="str">
        <x:f>IF(A166="","",WBS!J166)</x:f>
      </x:c>
    </x:row>
    <x:row r="167">
      <x:c r="A167" t="str">
        <x:f>IF(WBS!A167="","",WBS!A167)</x:f>
      </x:c>
      <x:c r="B167" t="str">
        <x:f>IF(A167="","",WBS!C167)</x:f>
      </x:c>
      <x:c r="C167" t="str">
        <x:f>IF(A167="","",WBS!D167)</x:f>
      </x:c>
      <x:c r="D167" s="29" t="str">
        <x:f>IF(OR(A167="",Setup!$B$7="",Setup!$B$8="",Setup!$B$8&lt;Setup!$B$7),"",SUMIFS(Daily!$G$7:$G$206,Daily!$Q$7:$Q$206,"Matched",Daily!$P$7:$P$206,"&lt;&gt;Duplicate event ID",Daily!$G$7:$G$206,"&gt;=0",Daily!$C$7:$C$206,A167,Daily!$B$7:$B$206,Setup!$B$4,Daily!$D$7:$D$206,"&gt;="&amp;Setup!$B$7,Daily!$D$7:$D$206,"&lt;="&amp;Setup!$B$8))</x:f>
      </x:c>
      <x:c r="E167" s="29" t="str">
        <x:f>IF(OR(A167="",Setup!$B$7="",Setup!$B$8="",Setup!$B$8&lt;Setup!$B$7),"",SUMIFS(Daily!$H$7:$H$206,Daily!$C$7:$C$206,A167,Daily!$B$7:$B$206,Setup!$B$4,Daily!$I$7:$I$206,"Accepted",Daily!$P$7:$P$206,"Recorded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7" s="29" t="str">
        <x:f>IF(A167="","",WBS!I167)</x:f>
      </x:c>
      <x:c r="G167" s="29" t="str">
        <x:f>IF(A167="","",WBS!E167)</x:f>
      </x:c>
      <x:c r="H167" s="30" t="str">
        <x:f>IF(A167="","",WBS!J167)</x:f>
      </x:c>
    </x:row>
    <x:row r="168">
      <x:c r="A168" t="str">
        <x:f>IF(WBS!A168="","",WBS!A168)</x:f>
      </x:c>
      <x:c r="B168" t="str">
        <x:f>IF(A168="","",WBS!C168)</x:f>
      </x:c>
      <x:c r="C168" t="str">
        <x:f>IF(A168="","",WBS!D168)</x:f>
      </x:c>
      <x:c r="D168" s="29" t="str">
        <x:f>IF(OR(A168="",Setup!$B$7="",Setup!$B$8="",Setup!$B$8&lt;Setup!$B$7),"",SUMIFS(Daily!$G$7:$G$206,Daily!$Q$7:$Q$206,"Matched",Daily!$P$7:$P$206,"&lt;&gt;Duplicate event ID",Daily!$G$7:$G$206,"&gt;=0",Daily!$C$7:$C$206,A168,Daily!$B$7:$B$206,Setup!$B$4,Daily!$D$7:$D$206,"&gt;="&amp;Setup!$B$7,Daily!$D$7:$D$206,"&lt;="&amp;Setup!$B$8))</x:f>
      </x:c>
      <x:c r="E168" s="29" t="str">
        <x:f>IF(OR(A168="",Setup!$B$7="",Setup!$B$8="",Setup!$B$8&lt;Setup!$B$7),"",SUMIFS(Daily!$H$7:$H$206,Daily!$C$7:$C$206,A168,Daily!$B$7:$B$206,Setup!$B$4,Daily!$I$7:$I$206,"Accepted",Daily!$P$7:$P$206,"Recorded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8" s="29" t="str">
        <x:f>IF(A168="","",WBS!I168)</x:f>
      </x:c>
      <x:c r="G168" s="29" t="str">
        <x:f>IF(A168="","",WBS!E168)</x:f>
      </x:c>
      <x:c r="H168" s="30" t="str">
        <x:f>IF(A168="","",WBS!J168)</x:f>
      </x:c>
    </x:row>
    <x:row r="169">
      <x:c r="A169" t="str">
        <x:f>IF(WBS!A169="","",WBS!A169)</x:f>
      </x:c>
      <x:c r="B169" t="str">
        <x:f>IF(A169="","",WBS!C169)</x:f>
      </x:c>
      <x:c r="C169" t="str">
        <x:f>IF(A169="","",WBS!D169)</x:f>
      </x:c>
      <x:c r="D169" s="29" t="str">
        <x:f>IF(OR(A169="",Setup!$B$7="",Setup!$B$8="",Setup!$B$8&lt;Setup!$B$7),"",SUMIFS(Daily!$G$7:$G$206,Daily!$Q$7:$Q$206,"Matched",Daily!$P$7:$P$206,"&lt;&gt;Duplicate event ID",Daily!$G$7:$G$206,"&gt;=0",Daily!$C$7:$C$206,A169,Daily!$B$7:$B$206,Setup!$B$4,Daily!$D$7:$D$206,"&gt;="&amp;Setup!$B$7,Daily!$D$7:$D$206,"&lt;="&amp;Setup!$B$8))</x:f>
      </x:c>
      <x:c r="E169" s="29" t="str">
        <x:f>IF(OR(A169="",Setup!$B$7="",Setup!$B$8="",Setup!$B$8&lt;Setup!$B$7),"",SUMIFS(Daily!$H$7:$H$206,Daily!$C$7:$C$206,A169,Daily!$B$7:$B$206,Setup!$B$4,Daily!$I$7:$I$206,"Accepted",Daily!$P$7:$P$206,"Recorded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9" s="29" t="str">
        <x:f>IF(A169="","",WBS!I169)</x:f>
      </x:c>
      <x:c r="G169" s="29" t="str">
        <x:f>IF(A169="","",WBS!E169)</x:f>
      </x:c>
      <x:c r="H169" s="30" t="str">
        <x:f>IF(A169="","",WBS!J169)</x:f>
      </x:c>
    </x:row>
    <x:row r="170">
      <x:c r="A170" t="str">
        <x:f>IF(WBS!A170="","",WBS!A170)</x:f>
      </x:c>
      <x:c r="B170" t="str">
        <x:f>IF(A170="","",WBS!C170)</x:f>
      </x:c>
      <x:c r="C170" t="str">
        <x:f>IF(A170="","",WBS!D170)</x:f>
      </x:c>
      <x:c r="D170" s="29" t="str">
        <x:f>IF(OR(A170="",Setup!$B$7="",Setup!$B$8="",Setup!$B$8&lt;Setup!$B$7),"",SUMIFS(Daily!$G$7:$G$206,Daily!$Q$7:$Q$206,"Matched",Daily!$P$7:$P$206,"&lt;&gt;Duplicate event ID",Daily!$G$7:$G$206,"&gt;=0",Daily!$C$7:$C$206,A170,Daily!$B$7:$B$206,Setup!$B$4,Daily!$D$7:$D$206,"&gt;="&amp;Setup!$B$7,Daily!$D$7:$D$206,"&lt;="&amp;Setup!$B$8))</x:f>
      </x:c>
      <x:c r="E170" s="29" t="str">
        <x:f>IF(OR(A170="",Setup!$B$7="",Setup!$B$8="",Setup!$B$8&lt;Setup!$B$7),"",SUMIFS(Daily!$H$7:$H$206,Daily!$C$7:$C$206,A170,Daily!$B$7:$B$206,Setup!$B$4,Daily!$I$7:$I$206,"Accepted",Daily!$P$7:$P$206,"Recorded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0" s="29" t="str">
        <x:f>IF(A170="","",WBS!I170)</x:f>
      </x:c>
      <x:c r="G170" s="29" t="str">
        <x:f>IF(A170="","",WBS!E170)</x:f>
      </x:c>
      <x:c r="H170" s="30" t="str">
        <x:f>IF(A170="","",WBS!J170)</x:f>
      </x:c>
    </x:row>
    <x:row r="171">
      <x:c r="A171" t="str">
        <x:f>IF(WBS!A171="","",WBS!A171)</x:f>
      </x:c>
      <x:c r="B171" t="str">
        <x:f>IF(A171="","",WBS!C171)</x:f>
      </x:c>
      <x:c r="C171" t="str">
        <x:f>IF(A171="","",WBS!D171)</x:f>
      </x:c>
      <x:c r="D171" s="29" t="str">
        <x:f>IF(OR(A171="",Setup!$B$7="",Setup!$B$8="",Setup!$B$8&lt;Setup!$B$7),"",SUMIFS(Daily!$G$7:$G$206,Daily!$Q$7:$Q$206,"Matched",Daily!$P$7:$P$206,"&lt;&gt;Duplicate event ID",Daily!$G$7:$G$206,"&gt;=0",Daily!$C$7:$C$206,A171,Daily!$B$7:$B$206,Setup!$B$4,Daily!$D$7:$D$206,"&gt;="&amp;Setup!$B$7,Daily!$D$7:$D$206,"&lt;="&amp;Setup!$B$8))</x:f>
      </x:c>
      <x:c r="E171" s="29" t="str">
        <x:f>IF(OR(A171="",Setup!$B$7="",Setup!$B$8="",Setup!$B$8&lt;Setup!$B$7),"",SUMIFS(Daily!$H$7:$H$206,Daily!$C$7:$C$206,A171,Daily!$B$7:$B$206,Setup!$B$4,Daily!$I$7:$I$206,"Accepted",Daily!$P$7:$P$206,"Recorded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1" s="29" t="str">
        <x:f>IF(A171="","",WBS!I171)</x:f>
      </x:c>
      <x:c r="G171" s="29" t="str">
        <x:f>IF(A171="","",WBS!E171)</x:f>
      </x:c>
      <x:c r="H171" s="30" t="str">
        <x:f>IF(A171="","",WBS!J171)</x:f>
      </x:c>
    </x:row>
    <x:row r="172">
      <x:c r="A172" t="str">
        <x:f>IF(WBS!A172="","",WBS!A172)</x:f>
      </x:c>
      <x:c r="B172" t="str">
        <x:f>IF(A172="","",WBS!C172)</x:f>
      </x:c>
      <x:c r="C172" t="str">
        <x:f>IF(A172="","",WBS!D172)</x:f>
      </x:c>
      <x:c r="D172" s="29" t="str">
        <x:f>IF(OR(A172="",Setup!$B$7="",Setup!$B$8="",Setup!$B$8&lt;Setup!$B$7),"",SUMIFS(Daily!$G$7:$G$206,Daily!$Q$7:$Q$206,"Matched",Daily!$P$7:$P$206,"&lt;&gt;Duplicate event ID",Daily!$G$7:$G$206,"&gt;=0",Daily!$C$7:$C$206,A172,Daily!$B$7:$B$206,Setup!$B$4,Daily!$D$7:$D$206,"&gt;="&amp;Setup!$B$7,Daily!$D$7:$D$206,"&lt;="&amp;Setup!$B$8))</x:f>
      </x:c>
      <x:c r="E172" s="29" t="str">
        <x:f>IF(OR(A172="",Setup!$B$7="",Setup!$B$8="",Setup!$B$8&lt;Setup!$B$7),"",SUMIFS(Daily!$H$7:$H$206,Daily!$C$7:$C$206,A172,Daily!$B$7:$B$206,Setup!$B$4,Daily!$I$7:$I$206,"Accepted",Daily!$P$7:$P$206,"Recorded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2" s="29" t="str">
        <x:f>IF(A172="","",WBS!I172)</x:f>
      </x:c>
      <x:c r="G172" s="29" t="str">
        <x:f>IF(A172="","",WBS!E172)</x:f>
      </x:c>
      <x:c r="H172" s="30" t="str">
        <x:f>IF(A172="","",WBS!J172)</x:f>
      </x:c>
    </x:row>
    <x:row r="173">
      <x:c r="A173" t="str">
        <x:f>IF(WBS!A173="","",WBS!A173)</x:f>
      </x:c>
      <x:c r="B173" t="str">
        <x:f>IF(A173="","",WBS!C173)</x:f>
      </x:c>
      <x:c r="C173" t="str">
        <x:f>IF(A173="","",WBS!D173)</x:f>
      </x:c>
      <x:c r="D173" s="29" t="str">
        <x:f>IF(OR(A173="",Setup!$B$7="",Setup!$B$8="",Setup!$B$8&lt;Setup!$B$7),"",SUMIFS(Daily!$G$7:$G$206,Daily!$Q$7:$Q$206,"Matched",Daily!$P$7:$P$206,"&lt;&gt;Duplicate event ID",Daily!$G$7:$G$206,"&gt;=0",Daily!$C$7:$C$206,A173,Daily!$B$7:$B$206,Setup!$B$4,Daily!$D$7:$D$206,"&gt;="&amp;Setup!$B$7,Daily!$D$7:$D$206,"&lt;="&amp;Setup!$B$8))</x:f>
      </x:c>
      <x:c r="E173" s="29" t="str">
        <x:f>IF(OR(A173="",Setup!$B$7="",Setup!$B$8="",Setup!$B$8&lt;Setup!$B$7),"",SUMIFS(Daily!$H$7:$H$206,Daily!$C$7:$C$206,A173,Daily!$B$7:$B$206,Setup!$B$4,Daily!$I$7:$I$206,"Accepted",Daily!$P$7:$P$206,"Recorded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3" s="29" t="str">
        <x:f>IF(A173="","",WBS!I173)</x:f>
      </x:c>
      <x:c r="G173" s="29" t="str">
        <x:f>IF(A173="","",WBS!E173)</x:f>
      </x:c>
      <x:c r="H173" s="30" t="str">
        <x:f>IF(A173="","",WBS!J173)</x:f>
      </x:c>
    </x:row>
    <x:row r="174">
      <x:c r="A174" t="str">
        <x:f>IF(WBS!A174="","",WBS!A174)</x:f>
      </x:c>
      <x:c r="B174" t="str">
        <x:f>IF(A174="","",WBS!C174)</x:f>
      </x:c>
      <x:c r="C174" t="str">
        <x:f>IF(A174="","",WBS!D174)</x:f>
      </x:c>
      <x:c r="D174" s="29" t="str">
        <x:f>IF(OR(A174="",Setup!$B$7="",Setup!$B$8="",Setup!$B$8&lt;Setup!$B$7),"",SUMIFS(Daily!$G$7:$G$206,Daily!$Q$7:$Q$206,"Matched",Daily!$P$7:$P$206,"&lt;&gt;Duplicate event ID",Daily!$G$7:$G$206,"&gt;=0",Daily!$C$7:$C$206,A174,Daily!$B$7:$B$206,Setup!$B$4,Daily!$D$7:$D$206,"&gt;="&amp;Setup!$B$7,Daily!$D$7:$D$206,"&lt;="&amp;Setup!$B$8))</x:f>
      </x:c>
      <x:c r="E174" s="29" t="str">
        <x:f>IF(OR(A174="",Setup!$B$7="",Setup!$B$8="",Setup!$B$8&lt;Setup!$B$7),"",SUMIFS(Daily!$H$7:$H$206,Daily!$C$7:$C$206,A174,Daily!$B$7:$B$206,Setup!$B$4,Daily!$I$7:$I$206,"Accepted",Daily!$P$7:$P$206,"Recorded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4" s="29" t="str">
        <x:f>IF(A174="","",WBS!I174)</x:f>
      </x:c>
      <x:c r="G174" s="29" t="str">
        <x:f>IF(A174="","",WBS!E174)</x:f>
      </x:c>
      <x:c r="H174" s="30" t="str">
        <x:f>IF(A174="","",WBS!J174)</x:f>
      </x:c>
    </x:row>
    <x:row r="175">
      <x:c r="A175" t="str">
        <x:f>IF(WBS!A175="","",WBS!A175)</x:f>
      </x:c>
      <x:c r="B175" t="str">
        <x:f>IF(A175="","",WBS!C175)</x:f>
      </x:c>
      <x:c r="C175" t="str">
        <x:f>IF(A175="","",WBS!D175)</x:f>
      </x:c>
      <x:c r="D175" s="29" t="str">
        <x:f>IF(OR(A175="",Setup!$B$7="",Setup!$B$8="",Setup!$B$8&lt;Setup!$B$7),"",SUMIFS(Daily!$G$7:$G$206,Daily!$Q$7:$Q$206,"Matched",Daily!$P$7:$P$206,"&lt;&gt;Duplicate event ID",Daily!$G$7:$G$206,"&gt;=0",Daily!$C$7:$C$206,A175,Daily!$B$7:$B$206,Setup!$B$4,Daily!$D$7:$D$206,"&gt;="&amp;Setup!$B$7,Daily!$D$7:$D$206,"&lt;="&amp;Setup!$B$8))</x:f>
      </x:c>
      <x:c r="E175" s="29" t="str">
        <x:f>IF(OR(A175="",Setup!$B$7="",Setup!$B$8="",Setup!$B$8&lt;Setup!$B$7),"",SUMIFS(Daily!$H$7:$H$206,Daily!$C$7:$C$206,A175,Daily!$B$7:$B$206,Setup!$B$4,Daily!$I$7:$I$206,"Accepted",Daily!$P$7:$P$206,"Recorded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5" s="29" t="str">
        <x:f>IF(A175="","",WBS!I175)</x:f>
      </x:c>
      <x:c r="G175" s="29" t="str">
        <x:f>IF(A175="","",WBS!E175)</x:f>
      </x:c>
      <x:c r="H175" s="30" t="str">
        <x:f>IF(A175="","",WBS!J175)</x:f>
      </x:c>
    </x:row>
    <x:row r="176">
      <x:c r="A176" t="str">
        <x:f>IF(WBS!A176="","",WBS!A176)</x:f>
      </x:c>
      <x:c r="B176" t="str">
        <x:f>IF(A176="","",WBS!C176)</x:f>
      </x:c>
      <x:c r="C176" t="str">
        <x:f>IF(A176="","",WBS!D176)</x:f>
      </x:c>
      <x:c r="D176" s="29" t="str">
        <x:f>IF(OR(A176="",Setup!$B$7="",Setup!$B$8="",Setup!$B$8&lt;Setup!$B$7),"",SUMIFS(Daily!$G$7:$G$206,Daily!$Q$7:$Q$206,"Matched",Daily!$P$7:$P$206,"&lt;&gt;Duplicate event ID",Daily!$G$7:$G$206,"&gt;=0",Daily!$C$7:$C$206,A176,Daily!$B$7:$B$206,Setup!$B$4,Daily!$D$7:$D$206,"&gt;="&amp;Setup!$B$7,Daily!$D$7:$D$206,"&lt;="&amp;Setup!$B$8))</x:f>
      </x:c>
      <x:c r="E176" s="29" t="str">
        <x:f>IF(OR(A176="",Setup!$B$7="",Setup!$B$8="",Setup!$B$8&lt;Setup!$B$7),"",SUMIFS(Daily!$H$7:$H$206,Daily!$C$7:$C$206,A176,Daily!$B$7:$B$206,Setup!$B$4,Daily!$I$7:$I$206,"Accepted",Daily!$P$7:$P$206,"Recorded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6" s="29" t="str">
        <x:f>IF(A176="","",WBS!I176)</x:f>
      </x:c>
      <x:c r="G176" s="29" t="str">
        <x:f>IF(A176="","",WBS!E176)</x:f>
      </x:c>
      <x:c r="H176" s="30" t="str">
        <x:f>IF(A176="","",WBS!J176)</x:f>
      </x:c>
    </x:row>
    <x:row r="177">
      <x:c r="A177" t="str">
        <x:f>IF(WBS!A177="","",WBS!A177)</x:f>
      </x:c>
      <x:c r="B177" t="str">
        <x:f>IF(A177="","",WBS!C177)</x:f>
      </x:c>
      <x:c r="C177" t="str">
        <x:f>IF(A177="","",WBS!D177)</x:f>
      </x:c>
      <x:c r="D177" s="29" t="str">
        <x:f>IF(OR(A177="",Setup!$B$7="",Setup!$B$8="",Setup!$B$8&lt;Setup!$B$7),"",SUMIFS(Daily!$G$7:$G$206,Daily!$Q$7:$Q$206,"Matched",Daily!$P$7:$P$206,"&lt;&gt;Duplicate event ID",Daily!$G$7:$G$206,"&gt;=0",Daily!$C$7:$C$206,A177,Daily!$B$7:$B$206,Setup!$B$4,Daily!$D$7:$D$206,"&gt;="&amp;Setup!$B$7,Daily!$D$7:$D$206,"&lt;="&amp;Setup!$B$8))</x:f>
      </x:c>
      <x:c r="E177" s="29" t="str">
        <x:f>IF(OR(A177="",Setup!$B$7="",Setup!$B$8="",Setup!$B$8&lt;Setup!$B$7),"",SUMIFS(Daily!$H$7:$H$206,Daily!$C$7:$C$206,A177,Daily!$B$7:$B$206,Setup!$B$4,Daily!$I$7:$I$206,"Accepted",Daily!$P$7:$P$206,"Recorded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7" s="29" t="str">
        <x:f>IF(A177="","",WBS!I177)</x:f>
      </x:c>
      <x:c r="G177" s="29" t="str">
        <x:f>IF(A177="","",WBS!E177)</x:f>
      </x:c>
      <x:c r="H177" s="30" t="str">
        <x:f>IF(A177="","",WBS!J177)</x:f>
      </x:c>
    </x:row>
    <x:row r="178">
      <x:c r="A178" t="str">
        <x:f>IF(WBS!A178="","",WBS!A178)</x:f>
      </x:c>
      <x:c r="B178" t="str">
        <x:f>IF(A178="","",WBS!C178)</x:f>
      </x:c>
      <x:c r="C178" t="str">
        <x:f>IF(A178="","",WBS!D178)</x:f>
      </x:c>
      <x:c r="D178" s="29" t="str">
        <x:f>IF(OR(A178="",Setup!$B$7="",Setup!$B$8="",Setup!$B$8&lt;Setup!$B$7),"",SUMIFS(Daily!$G$7:$G$206,Daily!$Q$7:$Q$206,"Matched",Daily!$P$7:$P$206,"&lt;&gt;Duplicate event ID",Daily!$G$7:$G$206,"&gt;=0",Daily!$C$7:$C$206,A178,Daily!$B$7:$B$206,Setup!$B$4,Daily!$D$7:$D$206,"&gt;="&amp;Setup!$B$7,Daily!$D$7:$D$206,"&lt;="&amp;Setup!$B$8))</x:f>
      </x:c>
      <x:c r="E178" s="29" t="str">
        <x:f>IF(OR(A178="",Setup!$B$7="",Setup!$B$8="",Setup!$B$8&lt;Setup!$B$7),"",SUMIFS(Daily!$H$7:$H$206,Daily!$C$7:$C$206,A178,Daily!$B$7:$B$206,Setup!$B$4,Daily!$I$7:$I$206,"Accepted",Daily!$P$7:$P$206,"Recorded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8" s="29" t="str">
        <x:f>IF(A178="","",WBS!I178)</x:f>
      </x:c>
      <x:c r="G178" s="29" t="str">
        <x:f>IF(A178="","",WBS!E178)</x:f>
      </x:c>
      <x:c r="H178" s="30" t="str">
        <x:f>IF(A178="","",WBS!J178)</x:f>
      </x:c>
    </x:row>
    <x:row r="179">
      <x:c r="A179" t="str">
        <x:f>IF(WBS!A179="","",WBS!A179)</x:f>
      </x:c>
      <x:c r="B179" t="str">
        <x:f>IF(A179="","",WBS!C179)</x:f>
      </x:c>
      <x:c r="C179" t="str">
        <x:f>IF(A179="","",WBS!D179)</x:f>
      </x:c>
      <x:c r="D179" s="29" t="str">
        <x:f>IF(OR(A179="",Setup!$B$7="",Setup!$B$8="",Setup!$B$8&lt;Setup!$B$7),"",SUMIFS(Daily!$G$7:$G$206,Daily!$Q$7:$Q$206,"Matched",Daily!$P$7:$P$206,"&lt;&gt;Duplicate event ID",Daily!$G$7:$G$206,"&gt;=0",Daily!$C$7:$C$206,A179,Daily!$B$7:$B$206,Setup!$B$4,Daily!$D$7:$D$206,"&gt;="&amp;Setup!$B$7,Daily!$D$7:$D$206,"&lt;="&amp;Setup!$B$8))</x:f>
      </x:c>
      <x:c r="E179" s="29" t="str">
        <x:f>IF(OR(A179="",Setup!$B$7="",Setup!$B$8="",Setup!$B$8&lt;Setup!$B$7),"",SUMIFS(Daily!$H$7:$H$206,Daily!$C$7:$C$206,A179,Daily!$B$7:$B$206,Setup!$B$4,Daily!$I$7:$I$206,"Accepted",Daily!$P$7:$P$206,"Recorded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9" s="29" t="str">
        <x:f>IF(A179="","",WBS!I179)</x:f>
      </x:c>
      <x:c r="G179" s="29" t="str">
        <x:f>IF(A179="","",WBS!E179)</x:f>
      </x:c>
      <x:c r="H179" s="30" t="str">
        <x:f>IF(A179="","",WBS!J179)</x:f>
      </x:c>
    </x:row>
    <x:row r="180">
      <x:c r="A180" t="str">
        <x:f>IF(WBS!A180="","",WBS!A180)</x:f>
      </x:c>
      <x:c r="B180" t="str">
        <x:f>IF(A180="","",WBS!C180)</x:f>
      </x:c>
      <x:c r="C180" t="str">
        <x:f>IF(A180="","",WBS!D180)</x:f>
      </x:c>
      <x:c r="D180" s="29" t="str">
        <x:f>IF(OR(A180="",Setup!$B$7="",Setup!$B$8="",Setup!$B$8&lt;Setup!$B$7),"",SUMIFS(Daily!$G$7:$G$206,Daily!$Q$7:$Q$206,"Matched",Daily!$P$7:$P$206,"&lt;&gt;Duplicate event ID",Daily!$G$7:$G$206,"&gt;=0",Daily!$C$7:$C$206,A180,Daily!$B$7:$B$206,Setup!$B$4,Daily!$D$7:$D$206,"&gt;="&amp;Setup!$B$7,Daily!$D$7:$D$206,"&lt;="&amp;Setup!$B$8))</x:f>
      </x:c>
      <x:c r="E180" s="29" t="str">
        <x:f>IF(OR(A180="",Setup!$B$7="",Setup!$B$8="",Setup!$B$8&lt;Setup!$B$7),"",SUMIFS(Daily!$H$7:$H$206,Daily!$C$7:$C$206,A180,Daily!$B$7:$B$206,Setup!$B$4,Daily!$I$7:$I$206,"Accepted",Daily!$P$7:$P$206,"Recorded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0" s="29" t="str">
        <x:f>IF(A180="","",WBS!I180)</x:f>
      </x:c>
      <x:c r="G180" s="29" t="str">
        <x:f>IF(A180="","",WBS!E180)</x:f>
      </x:c>
      <x:c r="H180" s="30" t="str">
        <x:f>IF(A180="","",WBS!J180)</x:f>
      </x:c>
    </x:row>
    <x:row r="181">
      <x:c r="A181" t="str">
        <x:f>IF(WBS!A181="","",WBS!A181)</x:f>
      </x:c>
      <x:c r="B181" t="str">
        <x:f>IF(A181="","",WBS!C181)</x:f>
      </x:c>
      <x:c r="C181" t="str">
        <x:f>IF(A181="","",WBS!D181)</x:f>
      </x:c>
      <x:c r="D181" s="29" t="str">
        <x:f>IF(OR(A181="",Setup!$B$7="",Setup!$B$8="",Setup!$B$8&lt;Setup!$B$7),"",SUMIFS(Daily!$G$7:$G$206,Daily!$Q$7:$Q$206,"Matched",Daily!$P$7:$P$206,"&lt;&gt;Duplicate event ID",Daily!$G$7:$G$206,"&gt;=0",Daily!$C$7:$C$206,A181,Daily!$B$7:$B$206,Setup!$B$4,Daily!$D$7:$D$206,"&gt;="&amp;Setup!$B$7,Daily!$D$7:$D$206,"&lt;="&amp;Setup!$B$8))</x:f>
      </x:c>
      <x:c r="E181" s="29" t="str">
        <x:f>IF(OR(A181="",Setup!$B$7="",Setup!$B$8="",Setup!$B$8&lt;Setup!$B$7),"",SUMIFS(Daily!$H$7:$H$206,Daily!$C$7:$C$206,A181,Daily!$B$7:$B$206,Setup!$B$4,Daily!$I$7:$I$206,"Accepted",Daily!$P$7:$P$206,"Recorded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1" s="29" t="str">
        <x:f>IF(A181="","",WBS!I181)</x:f>
      </x:c>
      <x:c r="G181" s="29" t="str">
        <x:f>IF(A181="","",WBS!E181)</x:f>
      </x:c>
      <x:c r="H181" s="30" t="str">
        <x:f>IF(A181="","",WBS!J181)</x:f>
      </x:c>
    </x:row>
    <x:row r="182">
      <x:c r="A182" t="str">
        <x:f>IF(WBS!A182="","",WBS!A182)</x:f>
      </x:c>
      <x:c r="B182" t="str">
        <x:f>IF(A182="","",WBS!C182)</x:f>
      </x:c>
      <x:c r="C182" t="str">
        <x:f>IF(A182="","",WBS!D182)</x:f>
      </x:c>
      <x:c r="D182" s="29" t="str">
        <x:f>IF(OR(A182="",Setup!$B$7="",Setup!$B$8="",Setup!$B$8&lt;Setup!$B$7),"",SUMIFS(Daily!$G$7:$G$206,Daily!$Q$7:$Q$206,"Matched",Daily!$P$7:$P$206,"&lt;&gt;Duplicate event ID",Daily!$G$7:$G$206,"&gt;=0",Daily!$C$7:$C$206,A182,Daily!$B$7:$B$206,Setup!$B$4,Daily!$D$7:$D$206,"&gt;="&amp;Setup!$B$7,Daily!$D$7:$D$206,"&lt;="&amp;Setup!$B$8))</x:f>
      </x:c>
      <x:c r="E182" s="29" t="str">
        <x:f>IF(OR(A182="",Setup!$B$7="",Setup!$B$8="",Setup!$B$8&lt;Setup!$B$7),"",SUMIFS(Daily!$H$7:$H$206,Daily!$C$7:$C$206,A182,Daily!$B$7:$B$206,Setup!$B$4,Daily!$I$7:$I$206,"Accepted",Daily!$P$7:$P$206,"Recorded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2" s="29" t="str">
        <x:f>IF(A182="","",WBS!I182)</x:f>
      </x:c>
      <x:c r="G182" s="29" t="str">
        <x:f>IF(A182="","",WBS!E182)</x:f>
      </x:c>
      <x:c r="H182" s="30" t="str">
        <x:f>IF(A182="","",WBS!J182)</x:f>
      </x:c>
    </x:row>
    <x:row r="183">
      <x:c r="A183" t="str">
        <x:f>IF(WBS!A183="","",WBS!A183)</x:f>
      </x:c>
      <x:c r="B183" t="str">
        <x:f>IF(A183="","",WBS!C183)</x:f>
      </x:c>
      <x:c r="C183" t="str">
        <x:f>IF(A183="","",WBS!D183)</x:f>
      </x:c>
      <x:c r="D183" s="29" t="str">
        <x:f>IF(OR(A183="",Setup!$B$7="",Setup!$B$8="",Setup!$B$8&lt;Setup!$B$7),"",SUMIFS(Daily!$G$7:$G$206,Daily!$Q$7:$Q$206,"Matched",Daily!$P$7:$P$206,"&lt;&gt;Duplicate event ID",Daily!$G$7:$G$206,"&gt;=0",Daily!$C$7:$C$206,A183,Daily!$B$7:$B$206,Setup!$B$4,Daily!$D$7:$D$206,"&gt;="&amp;Setup!$B$7,Daily!$D$7:$D$206,"&lt;="&amp;Setup!$B$8))</x:f>
      </x:c>
      <x:c r="E183" s="29" t="str">
        <x:f>IF(OR(A183="",Setup!$B$7="",Setup!$B$8="",Setup!$B$8&lt;Setup!$B$7),"",SUMIFS(Daily!$H$7:$H$206,Daily!$C$7:$C$206,A183,Daily!$B$7:$B$206,Setup!$B$4,Daily!$I$7:$I$206,"Accepted",Daily!$P$7:$P$206,"Recorded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3" s="29" t="str">
        <x:f>IF(A183="","",WBS!I183)</x:f>
      </x:c>
      <x:c r="G183" s="29" t="str">
        <x:f>IF(A183="","",WBS!E183)</x:f>
      </x:c>
      <x:c r="H183" s="30" t="str">
        <x:f>IF(A183="","",WBS!J183)</x:f>
      </x:c>
    </x:row>
    <x:row r="184">
      <x:c r="A184" t="str">
        <x:f>IF(WBS!A184="","",WBS!A184)</x:f>
      </x:c>
      <x:c r="B184" t="str">
        <x:f>IF(A184="","",WBS!C184)</x:f>
      </x:c>
      <x:c r="C184" t="str">
        <x:f>IF(A184="","",WBS!D184)</x:f>
      </x:c>
      <x:c r="D184" s="29" t="str">
        <x:f>IF(OR(A184="",Setup!$B$7="",Setup!$B$8="",Setup!$B$8&lt;Setup!$B$7),"",SUMIFS(Daily!$G$7:$G$206,Daily!$Q$7:$Q$206,"Matched",Daily!$P$7:$P$206,"&lt;&gt;Duplicate event ID",Daily!$G$7:$G$206,"&gt;=0",Daily!$C$7:$C$206,A184,Daily!$B$7:$B$206,Setup!$B$4,Daily!$D$7:$D$206,"&gt;="&amp;Setup!$B$7,Daily!$D$7:$D$206,"&lt;="&amp;Setup!$B$8))</x:f>
      </x:c>
      <x:c r="E184" s="29" t="str">
        <x:f>IF(OR(A184="",Setup!$B$7="",Setup!$B$8="",Setup!$B$8&lt;Setup!$B$7),"",SUMIFS(Daily!$H$7:$H$206,Daily!$C$7:$C$206,A184,Daily!$B$7:$B$206,Setup!$B$4,Daily!$I$7:$I$206,"Accepted",Daily!$P$7:$P$206,"Recorded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4" s="29" t="str">
        <x:f>IF(A184="","",WBS!I184)</x:f>
      </x:c>
      <x:c r="G184" s="29" t="str">
        <x:f>IF(A184="","",WBS!E184)</x:f>
      </x:c>
      <x:c r="H184" s="30" t="str">
        <x:f>IF(A184="","",WBS!J184)</x:f>
      </x:c>
    </x:row>
    <x:row r="185">
      <x:c r="A185" t="str">
        <x:f>IF(WBS!A185="","",WBS!A185)</x:f>
      </x:c>
      <x:c r="B185" t="str">
        <x:f>IF(A185="","",WBS!C185)</x:f>
      </x:c>
      <x:c r="C185" t="str">
        <x:f>IF(A185="","",WBS!D185)</x:f>
      </x:c>
      <x:c r="D185" s="29" t="str">
        <x:f>IF(OR(A185="",Setup!$B$7="",Setup!$B$8="",Setup!$B$8&lt;Setup!$B$7),"",SUMIFS(Daily!$G$7:$G$206,Daily!$Q$7:$Q$206,"Matched",Daily!$P$7:$P$206,"&lt;&gt;Duplicate event ID",Daily!$G$7:$G$206,"&gt;=0",Daily!$C$7:$C$206,A185,Daily!$B$7:$B$206,Setup!$B$4,Daily!$D$7:$D$206,"&gt;="&amp;Setup!$B$7,Daily!$D$7:$D$206,"&lt;="&amp;Setup!$B$8))</x:f>
      </x:c>
      <x:c r="E185" s="29" t="str">
        <x:f>IF(OR(A185="",Setup!$B$7="",Setup!$B$8="",Setup!$B$8&lt;Setup!$B$7),"",SUMIFS(Daily!$H$7:$H$206,Daily!$C$7:$C$206,A185,Daily!$B$7:$B$206,Setup!$B$4,Daily!$I$7:$I$206,"Accepted",Daily!$P$7:$P$206,"Recorded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5" s="29" t="str">
        <x:f>IF(A185="","",WBS!I185)</x:f>
      </x:c>
      <x:c r="G185" s="29" t="str">
        <x:f>IF(A185="","",WBS!E185)</x:f>
      </x:c>
      <x:c r="H185" s="30" t="str">
        <x:f>IF(A185="","",WBS!J185)</x:f>
      </x:c>
    </x:row>
    <x:row r="186">
      <x:c r="A186" t="str">
        <x:f>IF(WBS!A186="","",WBS!A186)</x:f>
      </x:c>
      <x:c r="B186" t="str">
        <x:f>IF(A186="","",WBS!C186)</x:f>
      </x:c>
      <x:c r="C186" t="str">
        <x:f>IF(A186="","",WBS!D186)</x:f>
      </x:c>
      <x:c r="D186" s="29" t="str">
        <x:f>IF(OR(A186="",Setup!$B$7="",Setup!$B$8="",Setup!$B$8&lt;Setup!$B$7),"",SUMIFS(Daily!$G$7:$G$206,Daily!$Q$7:$Q$206,"Matched",Daily!$P$7:$P$206,"&lt;&gt;Duplicate event ID",Daily!$G$7:$G$206,"&gt;=0",Daily!$C$7:$C$206,A186,Daily!$B$7:$B$206,Setup!$B$4,Daily!$D$7:$D$206,"&gt;="&amp;Setup!$B$7,Daily!$D$7:$D$206,"&lt;="&amp;Setup!$B$8))</x:f>
      </x:c>
      <x:c r="E186" s="29" t="str">
        <x:f>IF(OR(A186="",Setup!$B$7="",Setup!$B$8="",Setup!$B$8&lt;Setup!$B$7),"",SUMIFS(Daily!$H$7:$H$206,Daily!$C$7:$C$206,A186,Daily!$B$7:$B$206,Setup!$B$4,Daily!$I$7:$I$206,"Accepted",Daily!$P$7:$P$206,"Recorded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6" s="29" t="str">
        <x:f>IF(A186="","",WBS!I186)</x:f>
      </x:c>
      <x:c r="G186" s="29" t="str">
        <x:f>IF(A186="","",WBS!E186)</x:f>
      </x:c>
      <x:c r="H186" s="30" t="str">
        <x:f>IF(A186="","",WBS!J186)</x:f>
      </x:c>
    </x:row>
    <x:row r="187">
      <x:c r="A187" t="str">
        <x:f>IF(WBS!A187="","",WBS!A187)</x:f>
      </x:c>
      <x:c r="B187" t="str">
        <x:f>IF(A187="","",WBS!C187)</x:f>
      </x:c>
      <x:c r="C187" t="str">
        <x:f>IF(A187="","",WBS!D187)</x:f>
      </x:c>
      <x:c r="D187" s="29" t="str">
        <x:f>IF(OR(A187="",Setup!$B$7="",Setup!$B$8="",Setup!$B$8&lt;Setup!$B$7),"",SUMIFS(Daily!$G$7:$G$206,Daily!$Q$7:$Q$206,"Matched",Daily!$P$7:$P$206,"&lt;&gt;Duplicate event ID",Daily!$G$7:$G$206,"&gt;=0",Daily!$C$7:$C$206,A187,Daily!$B$7:$B$206,Setup!$B$4,Daily!$D$7:$D$206,"&gt;="&amp;Setup!$B$7,Daily!$D$7:$D$206,"&lt;="&amp;Setup!$B$8))</x:f>
      </x:c>
      <x:c r="E187" s="29" t="str">
        <x:f>IF(OR(A187="",Setup!$B$7="",Setup!$B$8="",Setup!$B$8&lt;Setup!$B$7),"",SUMIFS(Daily!$H$7:$H$206,Daily!$C$7:$C$206,A187,Daily!$B$7:$B$206,Setup!$B$4,Daily!$I$7:$I$206,"Accepted",Daily!$P$7:$P$206,"Recorded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7" s="29" t="str">
        <x:f>IF(A187="","",WBS!I187)</x:f>
      </x:c>
      <x:c r="G187" s="29" t="str">
        <x:f>IF(A187="","",WBS!E187)</x:f>
      </x:c>
      <x:c r="H187" s="30" t="str">
        <x:f>IF(A187="","",WBS!J187)</x:f>
      </x:c>
    </x:row>
    <x:row r="188">
      <x:c r="A188" t="str">
        <x:f>IF(WBS!A188="","",WBS!A188)</x:f>
      </x:c>
      <x:c r="B188" t="str">
        <x:f>IF(A188="","",WBS!C188)</x:f>
      </x:c>
      <x:c r="C188" t="str">
        <x:f>IF(A188="","",WBS!D188)</x:f>
      </x:c>
      <x:c r="D188" s="29" t="str">
        <x:f>IF(OR(A188="",Setup!$B$7="",Setup!$B$8="",Setup!$B$8&lt;Setup!$B$7),"",SUMIFS(Daily!$G$7:$G$206,Daily!$Q$7:$Q$206,"Matched",Daily!$P$7:$P$206,"&lt;&gt;Duplicate event ID",Daily!$G$7:$G$206,"&gt;=0",Daily!$C$7:$C$206,A188,Daily!$B$7:$B$206,Setup!$B$4,Daily!$D$7:$D$206,"&gt;="&amp;Setup!$B$7,Daily!$D$7:$D$206,"&lt;="&amp;Setup!$B$8))</x:f>
      </x:c>
      <x:c r="E188" s="29" t="str">
        <x:f>IF(OR(A188="",Setup!$B$7="",Setup!$B$8="",Setup!$B$8&lt;Setup!$B$7),"",SUMIFS(Daily!$H$7:$H$206,Daily!$C$7:$C$206,A188,Daily!$B$7:$B$206,Setup!$B$4,Daily!$I$7:$I$206,"Accepted",Daily!$P$7:$P$206,"Recorded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8" s="29" t="str">
        <x:f>IF(A188="","",WBS!I188)</x:f>
      </x:c>
      <x:c r="G188" s="29" t="str">
        <x:f>IF(A188="","",WBS!E188)</x:f>
      </x:c>
      <x:c r="H188" s="30" t="str">
        <x:f>IF(A188="","",WBS!J188)</x:f>
      </x:c>
    </x:row>
    <x:row r="189">
      <x:c r="A189" t="str">
        <x:f>IF(WBS!A189="","",WBS!A189)</x:f>
      </x:c>
      <x:c r="B189" t="str">
        <x:f>IF(A189="","",WBS!C189)</x:f>
      </x:c>
      <x:c r="C189" t="str">
        <x:f>IF(A189="","",WBS!D189)</x:f>
      </x:c>
      <x:c r="D189" s="29" t="str">
        <x:f>IF(OR(A189="",Setup!$B$7="",Setup!$B$8="",Setup!$B$8&lt;Setup!$B$7),"",SUMIFS(Daily!$G$7:$G$206,Daily!$Q$7:$Q$206,"Matched",Daily!$P$7:$P$206,"&lt;&gt;Duplicate event ID",Daily!$G$7:$G$206,"&gt;=0",Daily!$C$7:$C$206,A189,Daily!$B$7:$B$206,Setup!$B$4,Daily!$D$7:$D$206,"&gt;="&amp;Setup!$B$7,Daily!$D$7:$D$206,"&lt;="&amp;Setup!$B$8))</x:f>
      </x:c>
      <x:c r="E189" s="29" t="str">
        <x:f>IF(OR(A189="",Setup!$B$7="",Setup!$B$8="",Setup!$B$8&lt;Setup!$B$7),"",SUMIFS(Daily!$H$7:$H$206,Daily!$C$7:$C$206,A189,Daily!$B$7:$B$206,Setup!$B$4,Daily!$I$7:$I$206,"Accepted",Daily!$P$7:$P$206,"Recorded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9" s="29" t="str">
        <x:f>IF(A189="","",WBS!I189)</x:f>
      </x:c>
      <x:c r="G189" s="29" t="str">
        <x:f>IF(A189="","",WBS!E189)</x:f>
      </x:c>
      <x:c r="H189" s="30" t="str">
        <x:f>IF(A189="","",WBS!J189)</x:f>
      </x:c>
    </x:row>
    <x:row r="190">
      <x:c r="A190" t="str">
        <x:f>IF(WBS!A190="","",WBS!A190)</x:f>
      </x:c>
      <x:c r="B190" t="str">
        <x:f>IF(A190="","",WBS!C190)</x:f>
      </x:c>
      <x:c r="C190" t="str">
        <x:f>IF(A190="","",WBS!D190)</x:f>
      </x:c>
      <x:c r="D190" s="29" t="str">
        <x:f>IF(OR(A190="",Setup!$B$7="",Setup!$B$8="",Setup!$B$8&lt;Setup!$B$7),"",SUMIFS(Daily!$G$7:$G$206,Daily!$Q$7:$Q$206,"Matched",Daily!$P$7:$P$206,"&lt;&gt;Duplicate event ID",Daily!$G$7:$G$206,"&gt;=0",Daily!$C$7:$C$206,A190,Daily!$B$7:$B$206,Setup!$B$4,Daily!$D$7:$D$206,"&gt;="&amp;Setup!$B$7,Daily!$D$7:$D$206,"&lt;="&amp;Setup!$B$8))</x:f>
      </x:c>
      <x:c r="E190" s="29" t="str">
        <x:f>IF(OR(A190="",Setup!$B$7="",Setup!$B$8="",Setup!$B$8&lt;Setup!$B$7),"",SUMIFS(Daily!$H$7:$H$206,Daily!$C$7:$C$206,A190,Daily!$B$7:$B$206,Setup!$B$4,Daily!$I$7:$I$206,"Accepted",Daily!$P$7:$P$206,"Recorded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0" s="29" t="str">
        <x:f>IF(A190="","",WBS!I190)</x:f>
      </x:c>
      <x:c r="G190" s="29" t="str">
        <x:f>IF(A190="","",WBS!E190)</x:f>
      </x:c>
      <x:c r="H190" s="30" t="str">
        <x:f>IF(A190="","",WBS!J190)</x:f>
      </x:c>
    </x:row>
    <x:row r="191">
      <x:c r="A191" t="str">
        <x:f>IF(WBS!A191="","",WBS!A191)</x:f>
      </x:c>
      <x:c r="B191" t="str">
        <x:f>IF(A191="","",WBS!C191)</x:f>
      </x:c>
      <x:c r="C191" t="str">
        <x:f>IF(A191="","",WBS!D191)</x:f>
      </x:c>
      <x:c r="D191" s="29" t="str">
        <x:f>IF(OR(A191="",Setup!$B$7="",Setup!$B$8="",Setup!$B$8&lt;Setup!$B$7),"",SUMIFS(Daily!$G$7:$G$206,Daily!$Q$7:$Q$206,"Matched",Daily!$P$7:$P$206,"&lt;&gt;Duplicate event ID",Daily!$G$7:$G$206,"&gt;=0",Daily!$C$7:$C$206,A191,Daily!$B$7:$B$206,Setup!$B$4,Daily!$D$7:$D$206,"&gt;="&amp;Setup!$B$7,Daily!$D$7:$D$206,"&lt;="&amp;Setup!$B$8))</x:f>
      </x:c>
      <x:c r="E191" s="29" t="str">
        <x:f>IF(OR(A191="",Setup!$B$7="",Setup!$B$8="",Setup!$B$8&lt;Setup!$B$7),"",SUMIFS(Daily!$H$7:$H$206,Daily!$C$7:$C$206,A191,Daily!$B$7:$B$206,Setup!$B$4,Daily!$I$7:$I$206,"Accepted",Daily!$P$7:$P$206,"Recorded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1" s="29" t="str">
        <x:f>IF(A191="","",WBS!I191)</x:f>
      </x:c>
      <x:c r="G191" s="29" t="str">
        <x:f>IF(A191="","",WBS!E191)</x:f>
      </x:c>
      <x:c r="H191" s="30" t="str">
        <x:f>IF(A191="","",WBS!J191)</x:f>
      </x:c>
    </x:row>
    <x:row r="192">
      <x:c r="A192" t="str">
        <x:f>IF(WBS!A192="","",WBS!A192)</x:f>
      </x:c>
      <x:c r="B192" t="str">
        <x:f>IF(A192="","",WBS!C192)</x:f>
      </x:c>
      <x:c r="C192" t="str">
        <x:f>IF(A192="","",WBS!D192)</x:f>
      </x:c>
      <x:c r="D192" s="29" t="str">
        <x:f>IF(OR(A192="",Setup!$B$7="",Setup!$B$8="",Setup!$B$8&lt;Setup!$B$7),"",SUMIFS(Daily!$G$7:$G$206,Daily!$Q$7:$Q$206,"Matched",Daily!$P$7:$P$206,"&lt;&gt;Duplicate event ID",Daily!$G$7:$G$206,"&gt;=0",Daily!$C$7:$C$206,A192,Daily!$B$7:$B$206,Setup!$B$4,Daily!$D$7:$D$206,"&gt;="&amp;Setup!$B$7,Daily!$D$7:$D$206,"&lt;="&amp;Setup!$B$8))</x:f>
      </x:c>
      <x:c r="E192" s="29" t="str">
        <x:f>IF(OR(A192="",Setup!$B$7="",Setup!$B$8="",Setup!$B$8&lt;Setup!$B$7),"",SUMIFS(Daily!$H$7:$H$206,Daily!$C$7:$C$206,A192,Daily!$B$7:$B$206,Setup!$B$4,Daily!$I$7:$I$206,"Accepted",Daily!$P$7:$P$206,"Recorded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2" s="29" t="str">
        <x:f>IF(A192="","",WBS!I192)</x:f>
      </x:c>
      <x:c r="G192" s="29" t="str">
        <x:f>IF(A192="","",WBS!E192)</x:f>
      </x:c>
      <x:c r="H192" s="30" t="str">
        <x:f>IF(A192="","",WBS!J192)</x:f>
      </x:c>
    </x:row>
    <x:row r="193">
      <x:c r="A193" t="str">
        <x:f>IF(WBS!A193="","",WBS!A193)</x:f>
      </x:c>
      <x:c r="B193" t="str">
        <x:f>IF(A193="","",WBS!C193)</x:f>
      </x:c>
      <x:c r="C193" t="str">
        <x:f>IF(A193="","",WBS!D193)</x:f>
      </x:c>
      <x:c r="D193" s="29" t="str">
        <x:f>IF(OR(A193="",Setup!$B$7="",Setup!$B$8="",Setup!$B$8&lt;Setup!$B$7),"",SUMIFS(Daily!$G$7:$G$206,Daily!$Q$7:$Q$206,"Matched",Daily!$P$7:$P$206,"&lt;&gt;Duplicate event ID",Daily!$G$7:$G$206,"&gt;=0",Daily!$C$7:$C$206,A193,Daily!$B$7:$B$206,Setup!$B$4,Daily!$D$7:$D$206,"&gt;="&amp;Setup!$B$7,Daily!$D$7:$D$206,"&lt;="&amp;Setup!$B$8))</x:f>
      </x:c>
      <x:c r="E193" s="29" t="str">
        <x:f>IF(OR(A193="",Setup!$B$7="",Setup!$B$8="",Setup!$B$8&lt;Setup!$B$7),"",SUMIFS(Daily!$H$7:$H$206,Daily!$C$7:$C$206,A193,Daily!$B$7:$B$206,Setup!$B$4,Daily!$I$7:$I$206,"Accepted",Daily!$P$7:$P$206,"Recorded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3" s="29" t="str">
        <x:f>IF(A193="","",WBS!I193)</x:f>
      </x:c>
      <x:c r="G193" s="29" t="str">
        <x:f>IF(A193="","",WBS!E193)</x:f>
      </x:c>
      <x:c r="H193" s="30" t="str">
        <x:f>IF(A193="","",WBS!J193)</x:f>
      </x:c>
    </x:row>
    <x:row r="194">
      <x:c r="A194" t="str">
        <x:f>IF(WBS!A194="","",WBS!A194)</x:f>
      </x:c>
      <x:c r="B194" t="str">
        <x:f>IF(A194="","",WBS!C194)</x:f>
      </x:c>
      <x:c r="C194" t="str">
        <x:f>IF(A194="","",WBS!D194)</x:f>
      </x:c>
      <x:c r="D194" s="29" t="str">
        <x:f>IF(OR(A194="",Setup!$B$7="",Setup!$B$8="",Setup!$B$8&lt;Setup!$B$7),"",SUMIFS(Daily!$G$7:$G$206,Daily!$Q$7:$Q$206,"Matched",Daily!$P$7:$P$206,"&lt;&gt;Duplicate event ID",Daily!$G$7:$G$206,"&gt;=0",Daily!$C$7:$C$206,A194,Daily!$B$7:$B$206,Setup!$B$4,Daily!$D$7:$D$206,"&gt;="&amp;Setup!$B$7,Daily!$D$7:$D$206,"&lt;="&amp;Setup!$B$8))</x:f>
      </x:c>
      <x:c r="E194" s="29" t="str">
        <x:f>IF(OR(A194="",Setup!$B$7="",Setup!$B$8="",Setup!$B$8&lt;Setup!$B$7),"",SUMIFS(Daily!$H$7:$H$206,Daily!$C$7:$C$206,A194,Daily!$B$7:$B$206,Setup!$B$4,Daily!$I$7:$I$206,"Accepted",Daily!$P$7:$P$206,"Recorded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4" s="29" t="str">
        <x:f>IF(A194="","",WBS!I194)</x:f>
      </x:c>
      <x:c r="G194" s="29" t="str">
        <x:f>IF(A194="","",WBS!E194)</x:f>
      </x:c>
      <x:c r="H194" s="30" t="str">
        <x:f>IF(A194="","",WBS!J194)</x:f>
      </x:c>
    </x:row>
    <x:row r="195">
      <x:c r="A195" t="str">
        <x:f>IF(WBS!A195="","",WBS!A195)</x:f>
      </x:c>
      <x:c r="B195" t="str">
        <x:f>IF(A195="","",WBS!C195)</x:f>
      </x:c>
      <x:c r="C195" t="str">
        <x:f>IF(A195="","",WBS!D195)</x:f>
      </x:c>
      <x:c r="D195" s="29" t="str">
        <x:f>IF(OR(A195="",Setup!$B$7="",Setup!$B$8="",Setup!$B$8&lt;Setup!$B$7),"",SUMIFS(Daily!$G$7:$G$206,Daily!$Q$7:$Q$206,"Matched",Daily!$P$7:$P$206,"&lt;&gt;Duplicate event ID",Daily!$G$7:$G$206,"&gt;=0",Daily!$C$7:$C$206,A195,Daily!$B$7:$B$206,Setup!$B$4,Daily!$D$7:$D$206,"&gt;="&amp;Setup!$B$7,Daily!$D$7:$D$206,"&lt;="&amp;Setup!$B$8))</x:f>
      </x:c>
      <x:c r="E195" s="29" t="str">
        <x:f>IF(OR(A195="",Setup!$B$7="",Setup!$B$8="",Setup!$B$8&lt;Setup!$B$7),"",SUMIFS(Daily!$H$7:$H$206,Daily!$C$7:$C$206,A195,Daily!$B$7:$B$206,Setup!$B$4,Daily!$I$7:$I$206,"Accepted",Daily!$P$7:$P$206,"Recorded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5" s="29" t="str">
        <x:f>IF(A195="","",WBS!I195)</x:f>
      </x:c>
      <x:c r="G195" s="29" t="str">
        <x:f>IF(A195="","",WBS!E195)</x:f>
      </x:c>
      <x:c r="H195" s="30" t="str">
        <x:f>IF(A195="","",WBS!J195)</x:f>
      </x:c>
    </x:row>
    <x:row r="196">
      <x:c r="A196" t="str">
        <x:f>IF(WBS!A196="","",WBS!A196)</x:f>
      </x:c>
      <x:c r="B196" t="str">
        <x:f>IF(A196="","",WBS!C196)</x:f>
      </x:c>
      <x:c r="C196" t="str">
        <x:f>IF(A196="","",WBS!D196)</x:f>
      </x:c>
      <x:c r="D196" s="29" t="str">
        <x:f>IF(OR(A196="",Setup!$B$7="",Setup!$B$8="",Setup!$B$8&lt;Setup!$B$7),"",SUMIFS(Daily!$G$7:$G$206,Daily!$Q$7:$Q$206,"Matched",Daily!$P$7:$P$206,"&lt;&gt;Duplicate event ID",Daily!$G$7:$G$206,"&gt;=0",Daily!$C$7:$C$206,A196,Daily!$B$7:$B$206,Setup!$B$4,Daily!$D$7:$D$206,"&gt;="&amp;Setup!$B$7,Daily!$D$7:$D$206,"&lt;="&amp;Setup!$B$8))</x:f>
      </x:c>
      <x:c r="E196" s="29" t="str">
        <x:f>IF(OR(A196="",Setup!$B$7="",Setup!$B$8="",Setup!$B$8&lt;Setup!$B$7),"",SUMIFS(Daily!$H$7:$H$206,Daily!$C$7:$C$206,A196,Daily!$B$7:$B$206,Setup!$B$4,Daily!$I$7:$I$206,"Accepted",Daily!$P$7:$P$206,"Recorded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6" s="29" t="str">
        <x:f>IF(A196="","",WBS!I196)</x:f>
      </x:c>
      <x:c r="G196" s="29" t="str">
        <x:f>IF(A196="","",WBS!E196)</x:f>
      </x:c>
      <x:c r="H196" s="30" t="str">
        <x:f>IF(A196="","",WBS!J196)</x:f>
      </x:c>
    </x:row>
    <x:row r="197">
      <x:c r="A197" t="str">
        <x:f>IF(WBS!A197="","",WBS!A197)</x:f>
      </x:c>
      <x:c r="B197" t="str">
        <x:f>IF(A197="","",WBS!C197)</x:f>
      </x:c>
      <x:c r="C197" t="str">
        <x:f>IF(A197="","",WBS!D197)</x:f>
      </x:c>
      <x:c r="D197" s="29" t="str">
        <x:f>IF(OR(A197="",Setup!$B$7="",Setup!$B$8="",Setup!$B$8&lt;Setup!$B$7),"",SUMIFS(Daily!$G$7:$G$206,Daily!$Q$7:$Q$206,"Matched",Daily!$P$7:$P$206,"&lt;&gt;Duplicate event ID",Daily!$G$7:$G$206,"&gt;=0",Daily!$C$7:$C$206,A197,Daily!$B$7:$B$206,Setup!$B$4,Daily!$D$7:$D$206,"&gt;="&amp;Setup!$B$7,Daily!$D$7:$D$206,"&lt;="&amp;Setup!$B$8))</x:f>
      </x:c>
      <x:c r="E197" s="29" t="str">
        <x:f>IF(OR(A197="",Setup!$B$7="",Setup!$B$8="",Setup!$B$8&lt;Setup!$B$7),"",SUMIFS(Daily!$H$7:$H$206,Daily!$C$7:$C$206,A197,Daily!$B$7:$B$206,Setup!$B$4,Daily!$I$7:$I$206,"Accepted",Daily!$P$7:$P$206,"Recorded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7" s="29" t="str">
        <x:f>IF(A197="","",WBS!I197)</x:f>
      </x:c>
      <x:c r="G197" s="29" t="str">
        <x:f>IF(A197="","",WBS!E197)</x:f>
      </x:c>
      <x:c r="H197" s="30" t="str">
        <x:f>IF(A197="","",WBS!J197)</x:f>
      </x:c>
    </x:row>
    <x:row r="198">
      <x:c r="A198" t="str">
        <x:f>IF(WBS!A198="","",WBS!A198)</x:f>
      </x:c>
      <x:c r="B198" t="str">
        <x:f>IF(A198="","",WBS!C198)</x:f>
      </x:c>
      <x:c r="C198" t="str">
        <x:f>IF(A198="","",WBS!D198)</x:f>
      </x:c>
      <x:c r="D198" s="29" t="str">
        <x:f>IF(OR(A198="",Setup!$B$7="",Setup!$B$8="",Setup!$B$8&lt;Setup!$B$7),"",SUMIFS(Daily!$G$7:$G$206,Daily!$Q$7:$Q$206,"Matched",Daily!$P$7:$P$206,"&lt;&gt;Duplicate event ID",Daily!$G$7:$G$206,"&gt;=0",Daily!$C$7:$C$206,A198,Daily!$B$7:$B$206,Setup!$B$4,Daily!$D$7:$D$206,"&gt;="&amp;Setup!$B$7,Daily!$D$7:$D$206,"&lt;="&amp;Setup!$B$8))</x:f>
      </x:c>
      <x:c r="E198" s="29" t="str">
        <x:f>IF(OR(A198="",Setup!$B$7="",Setup!$B$8="",Setup!$B$8&lt;Setup!$B$7),"",SUMIFS(Daily!$H$7:$H$206,Daily!$C$7:$C$206,A198,Daily!$B$7:$B$206,Setup!$B$4,Daily!$I$7:$I$206,"Accepted",Daily!$P$7:$P$206,"Recorded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8" s="29" t="str">
        <x:f>IF(A198="","",WBS!I198)</x:f>
      </x:c>
      <x:c r="G198" s="29" t="str">
        <x:f>IF(A198="","",WBS!E198)</x:f>
      </x:c>
      <x:c r="H198" s="30" t="str">
        <x:f>IF(A198="","",WBS!J198)</x:f>
      </x:c>
    </x:row>
    <x:row r="199">
      <x:c r="A199" t="str">
        <x:f>IF(WBS!A199="","",WBS!A199)</x:f>
      </x:c>
      <x:c r="B199" t="str">
        <x:f>IF(A199="","",WBS!C199)</x:f>
      </x:c>
      <x:c r="C199" t="str">
        <x:f>IF(A199="","",WBS!D199)</x:f>
      </x:c>
      <x:c r="D199" s="29" t="str">
        <x:f>IF(OR(A199="",Setup!$B$7="",Setup!$B$8="",Setup!$B$8&lt;Setup!$B$7),"",SUMIFS(Daily!$G$7:$G$206,Daily!$Q$7:$Q$206,"Matched",Daily!$P$7:$P$206,"&lt;&gt;Duplicate event ID",Daily!$G$7:$G$206,"&gt;=0",Daily!$C$7:$C$206,A199,Daily!$B$7:$B$206,Setup!$B$4,Daily!$D$7:$D$206,"&gt;="&amp;Setup!$B$7,Daily!$D$7:$D$206,"&lt;="&amp;Setup!$B$8))</x:f>
      </x:c>
      <x:c r="E199" s="29" t="str">
        <x:f>IF(OR(A199="",Setup!$B$7="",Setup!$B$8="",Setup!$B$8&lt;Setup!$B$7),"",SUMIFS(Daily!$H$7:$H$206,Daily!$C$7:$C$206,A199,Daily!$B$7:$B$206,Setup!$B$4,Daily!$I$7:$I$206,"Accepted",Daily!$P$7:$P$206,"Recorded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9" s="29" t="str">
        <x:f>IF(A199="","",WBS!I199)</x:f>
      </x:c>
      <x:c r="G199" s="29" t="str">
        <x:f>IF(A199="","",WBS!E199)</x:f>
      </x:c>
      <x:c r="H199" s="30" t="str">
        <x:f>IF(A199="","",WBS!J199)</x:f>
      </x:c>
    </x:row>
    <x:row r="200">
      <x:c r="A200" t="str">
        <x:f>IF(WBS!A200="","",WBS!A200)</x:f>
      </x:c>
      <x:c r="B200" t="str">
        <x:f>IF(A200="","",WBS!C200)</x:f>
      </x:c>
      <x:c r="C200" t="str">
        <x:f>IF(A200="","",WBS!D200)</x:f>
      </x:c>
      <x:c r="D200" s="29" t="str">
        <x:f>IF(OR(A200="",Setup!$B$7="",Setup!$B$8="",Setup!$B$8&lt;Setup!$B$7),"",SUMIFS(Daily!$G$7:$G$206,Daily!$Q$7:$Q$206,"Matched",Daily!$P$7:$P$206,"&lt;&gt;Duplicate event ID",Daily!$G$7:$G$206,"&gt;=0",Daily!$C$7:$C$206,A200,Daily!$B$7:$B$206,Setup!$B$4,Daily!$D$7:$D$206,"&gt;="&amp;Setup!$B$7,Daily!$D$7:$D$206,"&lt;="&amp;Setup!$B$8))</x:f>
      </x:c>
      <x:c r="E200" s="29" t="str">
        <x:f>IF(OR(A200="",Setup!$B$7="",Setup!$B$8="",Setup!$B$8&lt;Setup!$B$7),"",SUMIFS(Daily!$H$7:$H$206,Daily!$C$7:$C$206,A200,Daily!$B$7:$B$206,Setup!$B$4,Daily!$I$7:$I$206,"Accepted",Daily!$P$7:$P$206,"Recorded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0" s="29" t="str">
        <x:f>IF(A200="","",WBS!I200)</x:f>
      </x:c>
      <x:c r="G200" s="29" t="str">
        <x:f>IF(A200="","",WBS!E200)</x:f>
      </x:c>
      <x:c r="H200" s="30" t="str">
        <x:f>IF(A200="","",WBS!J200)</x:f>
      </x:c>
    </x:row>
    <x:row r="201">
      <x:c r="A201" t="str">
        <x:f>IF(WBS!A201="","",WBS!A201)</x:f>
      </x:c>
      <x:c r="B201" t="str">
        <x:f>IF(A201="","",WBS!C201)</x:f>
      </x:c>
      <x:c r="C201" t="str">
        <x:f>IF(A201="","",WBS!D201)</x:f>
      </x:c>
      <x:c r="D201" s="29" t="str">
        <x:f>IF(OR(A201="",Setup!$B$7="",Setup!$B$8="",Setup!$B$8&lt;Setup!$B$7),"",SUMIFS(Daily!$G$7:$G$206,Daily!$Q$7:$Q$206,"Matched",Daily!$P$7:$P$206,"&lt;&gt;Duplicate event ID",Daily!$G$7:$G$206,"&gt;=0",Daily!$C$7:$C$206,A201,Daily!$B$7:$B$206,Setup!$B$4,Daily!$D$7:$D$206,"&gt;="&amp;Setup!$B$7,Daily!$D$7:$D$206,"&lt;="&amp;Setup!$B$8))</x:f>
      </x:c>
      <x:c r="E201" s="29" t="str">
        <x:f>IF(OR(A201="",Setup!$B$7="",Setup!$B$8="",Setup!$B$8&lt;Setup!$B$7),"",SUMIFS(Daily!$H$7:$H$206,Daily!$C$7:$C$206,A201,Daily!$B$7:$B$206,Setup!$B$4,Daily!$I$7:$I$206,"Accepted",Daily!$P$7:$P$206,"Recorded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1" s="29" t="str">
        <x:f>IF(A201="","",WBS!I201)</x:f>
      </x:c>
      <x:c r="G201" s="29" t="str">
        <x:f>IF(A201="","",WBS!E201)</x:f>
      </x:c>
      <x:c r="H201" s="30" t="str">
        <x:f>IF(A201="","",WBS!J201)</x:f>
      </x:c>
    </x:row>
    <x:row r="202">
      <x:c r="A202" t="str">
        <x:f>IF(WBS!A202="","",WBS!A202)</x:f>
      </x:c>
      <x:c r="B202" t="str">
        <x:f>IF(A202="","",WBS!C202)</x:f>
      </x:c>
      <x:c r="C202" t="str">
        <x:f>IF(A202="","",WBS!D202)</x:f>
      </x:c>
      <x:c r="D202" s="29" t="str">
        <x:f>IF(OR(A202="",Setup!$B$7="",Setup!$B$8="",Setup!$B$8&lt;Setup!$B$7),"",SUMIFS(Daily!$G$7:$G$206,Daily!$Q$7:$Q$206,"Matched",Daily!$P$7:$P$206,"&lt;&gt;Duplicate event ID",Daily!$G$7:$G$206,"&gt;=0",Daily!$C$7:$C$206,A202,Daily!$B$7:$B$206,Setup!$B$4,Daily!$D$7:$D$206,"&gt;="&amp;Setup!$B$7,Daily!$D$7:$D$206,"&lt;="&amp;Setup!$B$8))</x:f>
      </x:c>
      <x:c r="E202" s="29" t="str">
        <x:f>IF(OR(A202="",Setup!$B$7="",Setup!$B$8="",Setup!$B$8&lt;Setup!$B$7),"",SUMIFS(Daily!$H$7:$H$206,Daily!$C$7:$C$206,A202,Daily!$B$7:$B$206,Setup!$B$4,Daily!$I$7:$I$206,"Accepted",Daily!$P$7:$P$206,"Recorded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2" s="29" t="str">
        <x:f>IF(A202="","",WBS!I202)</x:f>
      </x:c>
      <x:c r="G202" s="29" t="str">
        <x:f>IF(A202="","",WBS!E202)</x:f>
      </x:c>
      <x:c r="H202" s="30" t="str">
        <x:f>IF(A202="","",WBS!J202)</x:f>
      </x:c>
    </x:row>
    <x:row r="203">
      <x:c r="A203" t="str">
        <x:f>IF(WBS!A203="","",WBS!A203)</x:f>
      </x:c>
      <x:c r="B203" t="str">
        <x:f>IF(A203="","",WBS!C203)</x:f>
      </x:c>
      <x:c r="C203" t="str">
        <x:f>IF(A203="","",WBS!D203)</x:f>
      </x:c>
      <x:c r="D203" s="29" t="str">
        <x:f>IF(OR(A203="",Setup!$B$7="",Setup!$B$8="",Setup!$B$8&lt;Setup!$B$7),"",SUMIFS(Daily!$G$7:$G$206,Daily!$Q$7:$Q$206,"Matched",Daily!$P$7:$P$206,"&lt;&gt;Duplicate event ID",Daily!$G$7:$G$206,"&gt;=0",Daily!$C$7:$C$206,A203,Daily!$B$7:$B$206,Setup!$B$4,Daily!$D$7:$D$206,"&gt;="&amp;Setup!$B$7,Daily!$D$7:$D$206,"&lt;="&amp;Setup!$B$8))</x:f>
      </x:c>
      <x:c r="E203" s="29" t="str">
        <x:f>IF(OR(A203="",Setup!$B$7="",Setup!$B$8="",Setup!$B$8&lt;Setup!$B$7),"",SUMIFS(Daily!$H$7:$H$206,Daily!$C$7:$C$206,A203,Daily!$B$7:$B$206,Setup!$B$4,Daily!$I$7:$I$206,"Accepted",Daily!$P$7:$P$206,"Recorded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3" s="29" t="str">
        <x:f>IF(A203="","",WBS!I203)</x:f>
      </x:c>
      <x:c r="G203" s="29" t="str">
        <x:f>IF(A203="","",WBS!E203)</x:f>
      </x:c>
      <x:c r="H203" s="30" t="str">
        <x:f>IF(A203="","",WBS!J203)</x:f>
      </x:c>
    </x:row>
    <x:row r="204">
      <x:c r="A204" t="str">
        <x:f>IF(WBS!A204="","",WBS!A204)</x:f>
      </x:c>
      <x:c r="B204" t="str">
        <x:f>IF(A204="","",WBS!C204)</x:f>
      </x:c>
      <x:c r="C204" t="str">
        <x:f>IF(A204="","",WBS!D204)</x:f>
      </x:c>
      <x:c r="D204" s="29" t="str">
        <x:f>IF(OR(A204="",Setup!$B$7="",Setup!$B$8="",Setup!$B$8&lt;Setup!$B$7),"",SUMIFS(Daily!$G$7:$G$206,Daily!$Q$7:$Q$206,"Matched",Daily!$P$7:$P$206,"&lt;&gt;Duplicate event ID",Daily!$G$7:$G$206,"&gt;=0",Daily!$C$7:$C$206,A204,Daily!$B$7:$B$206,Setup!$B$4,Daily!$D$7:$D$206,"&gt;="&amp;Setup!$B$7,Daily!$D$7:$D$206,"&lt;="&amp;Setup!$B$8))</x:f>
      </x:c>
      <x:c r="E204" s="29" t="str">
        <x:f>IF(OR(A204="",Setup!$B$7="",Setup!$B$8="",Setup!$B$8&lt;Setup!$B$7),"",SUMIFS(Daily!$H$7:$H$206,Daily!$C$7:$C$206,A204,Daily!$B$7:$B$206,Setup!$B$4,Daily!$I$7:$I$206,"Accepted",Daily!$P$7:$P$206,"Recorded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4" s="29" t="str">
        <x:f>IF(A204="","",WBS!I204)</x:f>
      </x:c>
      <x:c r="G204" s="29" t="str">
        <x:f>IF(A204="","",WBS!E204)</x:f>
      </x:c>
      <x:c r="H204" s="30" t="str">
        <x:f>IF(A204="","",WBS!J204)</x:f>
      </x:c>
    </x:row>
    <x:row r="205">
      <x:c r="A205" t="str">
        <x:f>IF(WBS!A205="","",WBS!A205)</x:f>
      </x:c>
      <x:c r="B205" t="str">
        <x:f>IF(A205="","",WBS!C205)</x:f>
      </x:c>
      <x:c r="C205" t="str">
        <x:f>IF(A205="","",WBS!D205)</x:f>
      </x:c>
      <x:c r="D205" s="29" t="str">
        <x:f>IF(OR(A205="",Setup!$B$7="",Setup!$B$8="",Setup!$B$8&lt;Setup!$B$7),"",SUMIFS(Daily!$G$7:$G$206,Daily!$Q$7:$Q$206,"Matched",Daily!$P$7:$P$206,"&lt;&gt;Duplicate event ID",Daily!$G$7:$G$206,"&gt;=0",Daily!$C$7:$C$206,A205,Daily!$B$7:$B$206,Setup!$B$4,Daily!$D$7:$D$206,"&gt;="&amp;Setup!$B$7,Daily!$D$7:$D$206,"&lt;="&amp;Setup!$B$8))</x:f>
      </x:c>
      <x:c r="E205" s="29" t="str">
        <x:f>IF(OR(A205="",Setup!$B$7="",Setup!$B$8="",Setup!$B$8&lt;Setup!$B$7),"",SUMIFS(Daily!$H$7:$H$206,Daily!$C$7:$C$206,A205,Daily!$B$7:$B$206,Setup!$B$4,Daily!$I$7:$I$206,"Accepted",Daily!$P$7:$P$206,"Recorded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5" s="29" t="str">
        <x:f>IF(A205="","",WBS!I205)</x:f>
      </x:c>
      <x:c r="G205" s="29" t="str">
        <x:f>IF(A205="","",WBS!E205)</x:f>
      </x:c>
      <x:c r="H205" s="30" t="str">
        <x:f>IF(A205="","",WBS!J205)</x:f>
      </x:c>
    </x:row>
    <x:row r="206">
      <x:c r="A206" t="str">
        <x:f>IF(WBS!A206="","",WBS!A206)</x:f>
      </x:c>
      <x:c r="B206" t="str">
        <x:f>IF(A206="","",WBS!C206)</x:f>
      </x:c>
      <x:c r="C206" t="str">
        <x:f>IF(A206="","",WBS!D206)</x:f>
      </x:c>
      <x:c r="D206" s="29" t="str">
        <x:f>IF(OR(A206="",Setup!$B$7="",Setup!$B$8="",Setup!$B$8&lt;Setup!$B$7),"",SUMIFS(Daily!$G$7:$G$206,Daily!$Q$7:$Q$206,"Matched",Daily!$P$7:$P$206,"&lt;&gt;Duplicate event ID",Daily!$G$7:$G$206,"&gt;=0",Daily!$C$7:$C$206,A206,Daily!$B$7:$B$206,Setup!$B$4,Daily!$D$7:$D$206,"&gt;="&amp;Setup!$B$7,Daily!$D$7:$D$206,"&lt;="&amp;Setup!$B$8))</x:f>
      </x:c>
      <x:c r="E206" s="29" t="str">
        <x:f>IF(OR(A206="",Setup!$B$7="",Setup!$B$8="",Setup!$B$8&lt;Setup!$B$7),"",SUMIFS(Daily!$H$7:$H$206,Daily!$C$7:$C$206,A206,Daily!$B$7:$B$206,Setup!$B$4,Daily!$I$7:$I$206,"Accepted",Daily!$P$7:$P$206,"Recorded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6" s="29" t="str">
        <x:f>IF(A206="","",WBS!I206)</x:f>
      </x:c>
      <x:c r="G206" s="29" t="str">
        <x:f>IF(A206="","",WBS!E206)</x:f>
      </x:c>
      <x:c r="H206" s="30" t="str">
        <x:f>IF(A206="","",WBS!J206)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Project profile and report controls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 t="str">
        <x:v>Project ID</x:v>
      </x:c>
      <x:c r="B4" s="19"/>
      <x:c r="C4" s="1"/>
      <x:c r="D4" s="1"/>
      <x:c r="E4" s="1"/>
    </x:row>
    <x:row r="5">
      <x:c r="A5" s="1" t="str">
        <x:v>Project name</x:v>
      </x:c>
      <x:c r="B5" s="19"/>
      <x:c r="C5" s="1"/>
      <x:c r="D5" s="1"/>
      <x:c r="E5" s="1"/>
    </x:row>
    <x:row r="6">
      <x:c r="A6" s="1" t="str">
        <x:v>As-of date</x:v>
      </x:c>
      <x:c r="B6" s="20"/>
      <x:c r="C6" s="1"/>
      <x:c r="D6" s="1"/>
      <x:c r="E6" s="1"/>
    </x:row>
    <x:row r="7">
      <x:c r="A7" s="1" t="str">
        <x:v>Report start</x:v>
      </x:c>
      <x:c r="B7" s="20"/>
      <x:c r="C7" s="1"/>
      <x:c r="D7" s="1"/>
      <x:c r="E7" s="1"/>
    </x:row>
    <x:row r="8">
      <x:c r="A8" s="1" t="str">
        <x:v>Report end</x:v>
      </x:c>
      <x:c r="B8" s="20"/>
      <x:c r="C8" s="1"/>
      <x:c r="D8" s="1"/>
      <x:c r="E8" s="1"/>
    </x:row>
    <x:row r="9">
      <x:c r="A9" s="1" t="str">
        <x:v>Prepared by</x:v>
      </x:c>
      <x:c r="B9" s="19"/>
      <x:c r="C9" s="1"/>
      <x:c r="D9" s="1"/>
      <x:c r="E9" s="1"/>
    </x:row>
    <x:row r="10">
      <x:c r="A10" s="1" t="str">
        <x:v>Reviewed by</x:v>
      </x:c>
      <x:c r="B10" s="19"/>
      <x:c r="C10" s="1"/>
      <x:c r="D10" s="1"/>
      <x:c r="E10" s="1"/>
    </x:row>
    <x:row r="11">
      <x:c r="A11" s="1" t="str">
        <x:v>Issue revision</x:v>
      </x:c>
      <x:c r="B11" s="19"/>
      <x:c r="C11" s="1"/>
      <x:c r="D11" s="1"/>
      <x:c r="E11" s="1"/>
    </x:row>
    <x:row r="12">
      <x:c r="A12" s="1" t="str">
        <x:v>Review / issue state</x:v>
      </x:c>
      <x:c r="B12" s="19" t="str">
        <x:v>Draft</x:v>
      </x:c>
      <x:c r="C12" s="1"/>
      <x:c r="D12" s="1"/>
      <x:c r="E12" s="1"/>
    </x:row>
    <x:row r="13">
      <x:c r="A13" s="1" t="str">
        <x:v>Currency</x:v>
      </x:c>
      <x:c r="B13" s="19" t="str">
        <x:v>PHP</x:v>
      </x:c>
      <x:c r="C13" s="1"/>
      <x:c r="D13" s="1"/>
      <x:c r="E13" s="1"/>
    </x:row>
    <x:row r="14">
      <x:c r="A14" s="1" t="str">
        <x:v>Jurisdiction</x:v>
      </x:c>
      <x:c r="B14" s="19" t="str">
        <x:v>Philippines; project and contract rules require review</x:v>
      </x:c>
      <x:c r="C14" s="1"/>
      <x:c r="D14" s="1"/>
      <x:c r="E14" s="1"/>
    </x:row>
    <x:row r="15">
      <x:c r="A15" s="1" t="str">
        <x:v>Evidence custody</x:v>
      </x:c>
      <x:c r="B15" s="19"/>
      <x:c r="C15" s="1"/>
      <x:c r="D15" s="1"/>
      <x:c r="E15" s="1"/>
    </x:row>
    <x:row r="16">
      <x:c r="A16" s="1"/>
      <x:c r="B16" s="1"/>
      <x:c r="C16" s="1"/>
      <x:c r="D16" s="1"/>
      <x:c r="E1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Work breakdown and progress basis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WBS ID</x:v>
      </x:c>
      <x:c r="B6" s="8" t="str">
        <x:v>Project ID</x:v>
      </x:c>
      <x:c r="C6" s="8" t="str">
        <x:v>Activity</x:v>
      </x:c>
      <x:c r="D6" s="8" t="str">
        <x:v>Unit</x:v>
      </x:c>
      <x:c r="E6" s="8" t="str">
        <x:v>Baseline Quantity</x:v>
      </x:c>
      <x:c r="F6" s="8" t="str">
        <x:v>Weight</x:v>
      </x:c>
      <x:c r="G6" s="8" t="str">
        <x:v>Planned Fraction</x:v>
      </x:c>
      <x:c r="H6" s="8" t="str">
        <x:v>Accepted Events</x:v>
      </x:c>
      <x:c r="I6" s="8" t="str">
        <x:v>Accepted Quantity</x:v>
      </x:c>
      <x:c r="J6" s="8" t="str">
        <x:v>Accepted Fraction</x:v>
      </x:c>
      <x:c r="K6" s="8" t="str">
        <x:v>Weighted Actual</x:v>
      </x:c>
      <x:c r="L6" s="8" t="str">
        <x:v>Weighted Plan</x:v>
      </x:c>
      <x:c r="M6" s="8" t="str">
        <x:v>Owner</x:v>
      </x:c>
      <x:c r="N6" s="8" t="str">
        <x:v>Revision</x:v>
      </x:c>
      <x:c r="O6" s="8" t="str">
        <x:v>Source Reference</x:v>
      </x:c>
      <x:c r="P6" s="8" t="str">
        <x:v>Basis Check</x:v>
      </x:c>
    </x:row>
    <x:row r="7" ht="60" customHeight="1">
      <x:c r="A7" s="11"/>
      <x:c r="B7" s="11"/>
      <x:c r="C7" s="11"/>
      <x:c r="D7" s="11"/>
      <x:c r="E7" s="12"/>
      <x:c r="F7" s="13"/>
      <x:c r="G7" s="13"/>
      <x:c r="H7" s="21" t="str">
        <x:f>IF(A7="","",COUNTIFS(Daily!$C$7:$C$206,A7,Daily!$B$7:$B$206,B7,Daily!$I$7:$I$206,"Accepted",Daily!$P$7:$P$206,"Recorded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" s="22" t="str">
        <x:f>IF(A7="","",IF(H7=0,"",SUMIFS(Daily!$H$7:$H$206,Daily!$C$7:$C$206,A7,Daily!$B$7:$B$206,B7,Daily!$I$7:$I$206,"Accepted",Daily!$P$7:$P$206,"Recorded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" s="23" t="str">
        <x:f>IF(A7="","",IF(OR(NOT(ISNUMBER(E7)),E7&lt;=0,I7=""),"",I7/E7))</x:f>
      </x:c>
      <x:c r="K7" s="23" t="str">
        <x:f>IF(A7="","",IF(OR(J7="",NOT(ISNUMBER(F7))),"",J7*F7))</x:f>
      </x:c>
      <x:c r="L7" s="23" t="str">
        <x:f>IF(A7="","",IF(OR(NOT(ISNUMBER(F7)),NOT(ISNUMBER(G7))),"",F7*G7))</x:f>
      </x:c>
      <x:c r="M7" s="11"/>
      <x:c r="N7" s="14"/>
      <x:c r="O7" s="11"/>
      <x:c r="P7" s="21" t="str">
        <x:f>IF(A7="","",IF(AND(COUNTIFS($A$7:$A$206,A7,$B$7:$B$206,B7)=1,B7=Setup!$B$4,D7&lt;&gt;"",ISNUMBER(E7),E7&gt;0,ISNUMBER(F7),F7&gt;=0,F7&lt;=1,ISNUMBER(G7),G7&gt;=0,G7&lt;=1,O7&lt;&gt;""),"Valid","Review baseline / ID / weight"))</x:f>
      </x:c>
    </x:row>
    <x:row r="8" ht="60" customHeight="1">
      <x:c r="A8" s="11"/>
      <x:c r="B8" s="11"/>
      <x:c r="C8" s="11"/>
      <x:c r="D8" s="11"/>
      <x:c r="E8" s="12"/>
      <x:c r="F8" s="13"/>
      <x:c r="G8" s="13"/>
      <x:c r="H8" s="21" t="str">
        <x:f>IF(A8="","",COUNTIFS(Daily!$C$7:$C$206,A8,Daily!$B$7:$B$206,B8,Daily!$I$7:$I$206,"Accepted",Daily!$P$7:$P$206,"Recorded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" s="22" t="str">
        <x:f>IF(A8="","",IF(H8=0,"",SUMIFS(Daily!$H$7:$H$206,Daily!$C$7:$C$206,A8,Daily!$B$7:$B$206,B8,Daily!$I$7:$I$206,"Accepted",Daily!$P$7:$P$206,"Recorded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" s="23" t="str">
        <x:f>IF(A8="","",IF(OR(NOT(ISNUMBER(E8)),E8&lt;=0,I8=""),"",I8/E8))</x:f>
      </x:c>
      <x:c r="K8" s="23" t="str">
        <x:f>IF(A8="","",IF(OR(J8="",NOT(ISNUMBER(F8))),"",J8*F8))</x:f>
      </x:c>
      <x:c r="L8" s="23" t="str">
        <x:f>IF(A8="","",IF(OR(NOT(ISNUMBER(F8)),NOT(ISNUMBER(G8))),"",F8*G8))</x:f>
      </x:c>
      <x:c r="M8" s="11"/>
      <x:c r="N8" s="14"/>
      <x:c r="O8" s="11"/>
      <x:c r="P8" s="21" t="str">
        <x:f>IF(A8="","",IF(AND(COUNTIFS($A$7:$A$206,A8,$B$7:$B$206,B8)=1,B8=Setup!$B$4,D8&lt;&gt;"",ISNUMBER(E8),E8&gt;0,ISNUMBER(F8),F8&gt;=0,F8&lt;=1,ISNUMBER(G8),G8&gt;=0,G8&lt;=1,O8&lt;&gt;""),"Valid","Review baseline / ID / weight"))</x:f>
      </x:c>
    </x:row>
    <x:row r="9" ht="60" customHeight="1">
      <x:c r="A9" s="11"/>
      <x:c r="B9" s="11"/>
      <x:c r="C9" s="11"/>
      <x:c r="D9" s="11"/>
      <x:c r="E9" s="12"/>
      <x:c r="F9" s="13"/>
      <x:c r="G9" s="13"/>
      <x:c r="H9" s="21" t="str">
        <x:f>IF(A9="","",COUNTIFS(Daily!$C$7:$C$206,A9,Daily!$B$7:$B$206,B9,Daily!$I$7:$I$206,"Accepted",Daily!$P$7:$P$206,"Recorded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" s="22" t="str">
        <x:f>IF(A9="","",IF(H9=0,"",SUMIFS(Daily!$H$7:$H$206,Daily!$C$7:$C$206,A9,Daily!$B$7:$B$206,B9,Daily!$I$7:$I$206,"Accepted",Daily!$P$7:$P$206,"Recorded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" s="23" t="str">
        <x:f>IF(A9="","",IF(OR(NOT(ISNUMBER(E9)),E9&lt;=0,I9=""),"",I9/E9))</x:f>
      </x:c>
      <x:c r="K9" s="23" t="str">
        <x:f>IF(A9="","",IF(OR(J9="",NOT(ISNUMBER(F9))),"",J9*F9))</x:f>
      </x:c>
      <x:c r="L9" s="23" t="str">
        <x:f>IF(A9="","",IF(OR(NOT(ISNUMBER(F9)),NOT(ISNUMBER(G9))),"",F9*G9))</x:f>
      </x:c>
      <x:c r="M9" s="11"/>
      <x:c r="N9" s="14"/>
      <x:c r="O9" s="11"/>
      <x:c r="P9" s="21" t="str">
        <x:f>IF(A9="","",IF(AND(COUNTIFS($A$7:$A$206,A9,$B$7:$B$206,B9)=1,B9=Setup!$B$4,D9&lt;&gt;"",ISNUMBER(E9),E9&gt;0,ISNUMBER(F9),F9&gt;=0,F9&lt;=1,ISNUMBER(G9),G9&gt;=0,G9&lt;=1,O9&lt;&gt;""),"Valid","Review baseline / ID / weight"))</x:f>
      </x:c>
    </x:row>
    <x:row r="10" ht="60" customHeight="1">
      <x:c r="A10" s="11"/>
      <x:c r="B10" s="11"/>
      <x:c r="C10" s="11"/>
      <x:c r="D10" s="11"/>
      <x:c r="E10" s="12"/>
      <x:c r="F10" s="13"/>
      <x:c r="G10" s="13"/>
      <x:c r="H10" s="21" t="str">
        <x:f>IF(A10="","",COUNTIFS(Daily!$C$7:$C$206,A10,Daily!$B$7:$B$206,B10,Daily!$I$7:$I$206,"Accepted",Daily!$P$7:$P$206,"Recorded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" s="22" t="str">
        <x:f>IF(A10="","",IF(H10=0,"",SUMIFS(Daily!$H$7:$H$206,Daily!$C$7:$C$206,A10,Daily!$B$7:$B$206,B10,Daily!$I$7:$I$206,"Accepted",Daily!$P$7:$P$206,"Recorded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" s="23" t="str">
        <x:f>IF(A10="","",IF(OR(NOT(ISNUMBER(E10)),E10&lt;=0,I10=""),"",I10/E10))</x:f>
      </x:c>
      <x:c r="K10" s="23" t="str">
        <x:f>IF(A10="","",IF(OR(J10="",NOT(ISNUMBER(F10))),"",J10*F10))</x:f>
      </x:c>
      <x:c r="L10" s="23" t="str">
        <x:f>IF(A10="","",IF(OR(NOT(ISNUMBER(F10)),NOT(ISNUMBER(G10))),"",F10*G10))</x:f>
      </x:c>
      <x:c r="M10" s="11"/>
      <x:c r="N10" s="14"/>
      <x:c r="O10" s="11"/>
      <x:c r="P10" s="21" t="str">
        <x:f>IF(A10="","",IF(AND(COUNTIFS($A$7:$A$206,A10,$B$7:$B$206,B10)=1,B10=Setup!$B$4,D10&lt;&gt;"",ISNUMBER(E10),E10&gt;0,ISNUMBER(F10),F10&gt;=0,F10&lt;=1,ISNUMBER(G10),G10&gt;=0,G10&lt;=1,O10&lt;&gt;""),"Valid","Review baseline / ID / weight"))</x:f>
      </x:c>
    </x:row>
    <x:row r="11" ht="60" customHeight="1">
      <x:c r="A11" s="11"/>
      <x:c r="B11" s="11"/>
      <x:c r="C11" s="11"/>
      <x:c r="D11" s="11"/>
      <x:c r="E11" s="12"/>
      <x:c r="F11" s="13"/>
      <x:c r="G11" s="13"/>
      <x:c r="H11" s="21" t="str">
        <x:f>IF(A11="","",COUNTIFS(Daily!$C$7:$C$206,A11,Daily!$B$7:$B$206,B11,Daily!$I$7:$I$206,"Accepted",Daily!$P$7:$P$206,"Recorded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" s="22" t="str">
        <x:f>IF(A11="","",IF(H11=0,"",SUMIFS(Daily!$H$7:$H$206,Daily!$C$7:$C$206,A11,Daily!$B$7:$B$206,B11,Daily!$I$7:$I$206,"Accepted",Daily!$P$7:$P$206,"Recorded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" s="23" t="str">
        <x:f>IF(A11="","",IF(OR(NOT(ISNUMBER(E11)),E11&lt;=0,I11=""),"",I11/E11))</x:f>
      </x:c>
      <x:c r="K11" s="23" t="str">
        <x:f>IF(A11="","",IF(OR(J11="",NOT(ISNUMBER(F11))),"",J11*F11))</x:f>
      </x:c>
      <x:c r="L11" s="23" t="str">
        <x:f>IF(A11="","",IF(OR(NOT(ISNUMBER(F11)),NOT(ISNUMBER(G11))),"",F11*G11))</x:f>
      </x:c>
      <x:c r="M11" s="11"/>
      <x:c r="N11" s="14"/>
      <x:c r="O11" s="11"/>
      <x:c r="P11" s="21" t="str">
        <x:f>IF(A11="","",IF(AND(COUNTIFS($A$7:$A$206,A11,$B$7:$B$206,B11)=1,B11=Setup!$B$4,D11&lt;&gt;"",ISNUMBER(E11),E11&gt;0,ISNUMBER(F11),F11&gt;=0,F11&lt;=1,ISNUMBER(G11),G11&gt;=0,G11&lt;=1,O11&lt;&gt;""),"Valid","Review baseline / ID / weight"))</x:f>
      </x:c>
    </x:row>
    <x:row r="12" ht="60" customHeight="1">
      <x:c r="A12" s="11"/>
      <x:c r="B12" s="11"/>
      <x:c r="C12" s="11"/>
      <x:c r="D12" s="11"/>
      <x:c r="E12" s="12"/>
      <x:c r="F12" s="13"/>
      <x:c r="G12" s="13"/>
      <x:c r="H12" s="21" t="str">
        <x:f>IF(A12="","",COUNTIFS(Daily!$C$7:$C$206,A12,Daily!$B$7:$B$206,B12,Daily!$I$7:$I$206,"Accepted",Daily!$P$7:$P$206,"Recorded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" s="22" t="str">
        <x:f>IF(A12="","",IF(H12=0,"",SUMIFS(Daily!$H$7:$H$206,Daily!$C$7:$C$206,A12,Daily!$B$7:$B$206,B12,Daily!$I$7:$I$206,"Accepted",Daily!$P$7:$P$206,"Recorded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" s="23" t="str">
        <x:f>IF(A12="","",IF(OR(NOT(ISNUMBER(E12)),E12&lt;=0,I12=""),"",I12/E12))</x:f>
      </x:c>
      <x:c r="K12" s="23" t="str">
        <x:f>IF(A12="","",IF(OR(J12="",NOT(ISNUMBER(F12))),"",J12*F12))</x:f>
      </x:c>
      <x:c r="L12" s="23" t="str">
        <x:f>IF(A12="","",IF(OR(NOT(ISNUMBER(F12)),NOT(ISNUMBER(G12))),"",F12*G12))</x:f>
      </x:c>
      <x:c r="M12" s="11"/>
      <x:c r="N12" s="14"/>
      <x:c r="O12" s="11"/>
      <x:c r="P12" s="21" t="str">
        <x:f>IF(A12="","",IF(AND(COUNTIFS($A$7:$A$206,A12,$B$7:$B$206,B12)=1,B12=Setup!$B$4,D12&lt;&gt;"",ISNUMBER(E12),E12&gt;0,ISNUMBER(F12),F12&gt;=0,F12&lt;=1,ISNUMBER(G12),G12&gt;=0,G12&lt;=1,O12&lt;&gt;""),"Valid","Review baseline / ID / weight"))</x:f>
      </x:c>
    </x:row>
    <x:row r="13" ht="60" customHeight="1">
      <x:c r="A13" s="11"/>
      <x:c r="B13" s="11"/>
      <x:c r="C13" s="11"/>
      <x:c r="D13" s="11"/>
      <x:c r="E13" s="12"/>
      <x:c r="F13" s="13"/>
      <x:c r="G13" s="13"/>
      <x:c r="H13" s="21" t="str">
        <x:f>IF(A13="","",COUNTIFS(Daily!$C$7:$C$206,A13,Daily!$B$7:$B$206,B13,Daily!$I$7:$I$206,"Accepted",Daily!$P$7:$P$206,"Recorded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" s="22" t="str">
        <x:f>IF(A13="","",IF(H13=0,"",SUMIFS(Daily!$H$7:$H$206,Daily!$C$7:$C$206,A13,Daily!$B$7:$B$206,B13,Daily!$I$7:$I$206,"Accepted",Daily!$P$7:$P$206,"Recorded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" s="23" t="str">
        <x:f>IF(A13="","",IF(OR(NOT(ISNUMBER(E13)),E13&lt;=0,I13=""),"",I13/E13))</x:f>
      </x:c>
      <x:c r="K13" s="23" t="str">
        <x:f>IF(A13="","",IF(OR(J13="",NOT(ISNUMBER(F13))),"",J13*F13))</x:f>
      </x:c>
      <x:c r="L13" s="23" t="str">
        <x:f>IF(A13="","",IF(OR(NOT(ISNUMBER(F13)),NOT(ISNUMBER(G13))),"",F13*G13))</x:f>
      </x:c>
      <x:c r="M13" s="11"/>
      <x:c r="N13" s="14"/>
      <x:c r="O13" s="11"/>
      <x:c r="P13" s="21" t="str">
        <x:f>IF(A13="","",IF(AND(COUNTIFS($A$7:$A$206,A13,$B$7:$B$206,B13)=1,B13=Setup!$B$4,D13&lt;&gt;"",ISNUMBER(E13),E13&gt;0,ISNUMBER(F13),F13&gt;=0,F13&lt;=1,ISNUMBER(G13),G13&gt;=0,G13&lt;=1,O13&lt;&gt;""),"Valid","Review baseline / ID / weight"))</x:f>
      </x:c>
    </x:row>
    <x:row r="14" ht="60" customHeight="1">
      <x:c r="A14" s="11"/>
      <x:c r="B14" s="11"/>
      <x:c r="C14" s="11"/>
      <x:c r="D14" s="11"/>
      <x:c r="E14" s="12"/>
      <x:c r="F14" s="13"/>
      <x:c r="G14" s="13"/>
      <x:c r="H14" s="21" t="str">
        <x:f>IF(A14="","",COUNTIFS(Daily!$C$7:$C$206,A14,Daily!$B$7:$B$206,B14,Daily!$I$7:$I$206,"Accepted",Daily!$P$7:$P$206,"Recorded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" s="22" t="str">
        <x:f>IF(A14="","",IF(H14=0,"",SUMIFS(Daily!$H$7:$H$206,Daily!$C$7:$C$206,A14,Daily!$B$7:$B$206,B14,Daily!$I$7:$I$206,"Accepted",Daily!$P$7:$P$206,"Recorded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" s="23" t="str">
        <x:f>IF(A14="","",IF(OR(NOT(ISNUMBER(E14)),E14&lt;=0,I14=""),"",I14/E14))</x:f>
      </x:c>
      <x:c r="K14" s="23" t="str">
        <x:f>IF(A14="","",IF(OR(J14="",NOT(ISNUMBER(F14))),"",J14*F14))</x:f>
      </x:c>
      <x:c r="L14" s="23" t="str">
        <x:f>IF(A14="","",IF(OR(NOT(ISNUMBER(F14)),NOT(ISNUMBER(G14))),"",F14*G14))</x:f>
      </x:c>
      <x:c r="M14" s="11"/>
      <x:c r="N14" s="14"/>
      <x:c r="O14" s="11"/>
      <x:c r="P14" s="21" t="str">
        <x:f>IF(A14="","",IF(AND(COUNTIFS($A$7:$A$206,A14,$B$7:$B$206,B14)=1,B14=Setup!$B$4,D14&lt;&gt;"",ISNUMBER(E14),E14&gt;0,ISNUMBER(F14),F14&gt;=0,F14&lt;=1,ISNUMBER(G14),G14&gt;=0,G14&lt;=1,O14&lt;&gt;""),"Valid","Review baseline / ID / weight"))</x:f>
      </x:c>
    </x:row>
    <x:row r="15" ht="60" customHeight="1">
      <x:c r="A15" s="11"/>
      <x:c r="B15" s="11"/>
      <x:c r="C15" s="11"/>
      <x:c r="D15" s="11"/>
      <x:c r="E15" s="12"/>
      <x:c r="F15" s="13"/>
      <x:c r="G15" s="13"/>
      <x:c r="H15" s="21" t="str">
        <x:f>IF(A15="","",COUNTIFS(Daily!$C$7:$C$206,A15,Daily!$B$7:$B$206,B15,Daily!$I$7:$I$206,"Accepted",Daily!$P$7:$P$206,"Recorded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" s="22" t="str">
        <x:f>IF(A15="","",IF(H15=0,"",SUMIFS(Daily!$H$7:$H$206,Daily!$C$7:$C$206,A15,Daily!$B$7:$B$206,B15,Daily!$I$7:$I$206,"Accepted",Daily!$P$7:$P$206,"Recorded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" s="23" t="str">
        <x:f>IF(A15="","",IF(OR(NOT(ISNUMBER(E15)),E15&lt;=0,I15=""),"",I15/E15))</x:f>
      </x:c>
      <x:c r="K15" s="23" t="str">
        <x:f>IF(A15="","",IF(OR(J15="",NOT(ISNUMBER(F15))),"",J15*F15))</x:f>
      </x:c>
      <x:c r="L15" s="23" t="str">
        <x:f>IF(A15="","",IF(OR(NOT(ISNUMBER(F15)),NOT(ISNUMBER(G15))),"",F15*G15))</x:f>
      </x:c>
      <x:c r="M15" s="11"/>
      <x:c r="N15" s="14"/>
      <x:c r="O15" s="11"/>
      <x:c r="P15" s="21" t="str">
        <x:f>IF(A15="","",IF(AND(COUNTIFS($A$7:$A$206,A15,$B$7:$B$206,B15)=1,B15=Setup!$B$4,D15&lt;&gt;"",ISNUMBER(E15),E15&gt;0,ISNUMBER(F15),F15&gt;=0,F15&lt;=1,ISNUMBER(G15),G15&gt;=0,G15&lt;=1,O15&lt;&gt;""),"Valid","Review baseline / ID / weight"))</x:f>
      </x:c>
    </x:row>
    <x:row r="16" ht="60" customHeight="1">
      <x:c r="A16" s="11"/>
      <x:c r="B16" s="11"/>
      <x:c r="C16" s="11"/>
      <x:c r="D16" s="11"/>
      <x:c r="E16" s="12"/>
      <x:c r="F16" s="13"/>
      <x:c r="G16" s="13"/>
      <x:c r="H16" s="21" t="str">
        <x:f>IF(A16="","",COUNTIFS(Daily!$C$7:$C$206,A16,Daily!$B$7:$B$206,B16,Daily!$I$7:$I$206,"Accepted",Daily!$P$7:$P$206,"Recorded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" s="22" t="str">
        <x:f>IF(A16="","",IF(H16=0,"",SUMIFS(Daily!$H$7:$H$206,Daily!$C$7:$C$206,A16,Daily!$B$7:$B$206,B16,Daily!$I$7:$I$206,"Accepted",Daily!$P$7:$P$206,"Recorded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" s="23" t="str">
        <x:f>IF(A16="","",IF(OR(NOT(ISNUMBER(E16)),E16&lt;=0,I16=""),"",I16/E16))</x:f>
      </x:c>
      <x:c r="K16" s="23" t="str">
        <x:f>IF(A16="","",IF(OR(J16="",NOT(ISNUMBER(F16))),"",J16*F16))</x:f>
      </x:c>
      <x:c r="L16" s="23" t="str">
        <x:f>IF(A16="","",IF(OR(NOT(ISNUMBER(F16)),NOT(ISNUMBER(G16))),"",F16*G16))</x:f>
      </x:c>
      <x:c r="M16" s="11"/>
      <x:c r="N16" s="14"/>
      <x:c r="O16" s="11"/>
      <x:c r="P16" s="21" t="str">
        <x:f>IF(A16="","",IF(AND(COUNTIFS($A$7:$A$206,A16,$B$7:$B$206,B16)=1,B16=Setup!$B$4,D16&lt;&gt;"",ISNUMBER(E16),E16&gt;0,ISNUMBER(F16),F16&gt;=0,F16&lt;=1,ISNUMBER(G16),G16&gt;=0,G16&lt;=1,O16&lt;&gt;""),"Valid","Review baseline / ID / weight"))</x:f>
      </x:c>
    </x:row>
    <x:row r="17" ht="60" customHeight="1">
      <x:c r="A17" s="11"/>
      <x:c r="B17" s="11"/>
      <x:c r="C17" s="11"/>
      <x:c r="D17" s="11"/>
      <x:c r="E17" s="12"/>
      <x:c r="F17" s="13"/>
      <x:c r="G17" s="13"/>
      <x:c r="H17" s="21" t="str">
        <x:f>IF(A17="","",COUNTIFS(Daily!$C$7:$C$206,A17,Daily!$B$7:$B$206,B17,Daily!$I$7:$I$206,"Accepted",Daily!$P$7:$P$206,"Recorded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" s="22" t="str">
        <x:f>IF(A17="","",IF(H17=0,"",SUMIFS(Daily!$H$7:$H$206,Daily!$C$7:$C$206,A17,Daily!$B$7:$B$206,B17,Daily!$I$7:$I$206,"Accepted",Daily!$P$7:$P$206,"Recorded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" s="23" t="str">
        <x:f>IF(A17="","",IF(OR(NOT(ISNUMBER(E17)),E17&lt;=0,I17=""),"",I17/E17))</x:f>
      </x:c>
      <x:c r="K17" s="23" t="str">
        <x:f>IF(A17="","",IF(OR(J17="",NOT(ISNUMBER(F17))),"",J17*F17))</x:f>
      </x:c>
      <x:c r="L17" s="23" t="str">
        <x:f>IF(A17="","",IF(OR(NOT(ISNUMBER(F17)),NOT(ISNUMBER(G17))),"",F17*G17))</x:f>
      </x:c>
      <x:c r="M17" s="11"/>
      <x:c r="N17" s="14"/>
      <x:c r="O17" s="11"/>
      <x:c r="P17" s="21" t="str">
        <x:f>IF(A17="","",IF(AND(COUNTIFS($A$7:$A$206,A17,$B$7:$B$206,B17)=1,B17=Setup!$B$4,D17&lt;&gt;"",ISNUMBER(E17),E17&gt;0,ISNUMBER(F17),F17&gt;=0,F17&lt;=1,ISNUMBER(G17),G17&gt;=0,G17&lt;=1,O17&lt;&gt;""),"Valid","Review baseline / ID / weight"))</x:f>
      </x:c>
    </x:row>
    <x:row r="18" ht="60" customHeight="1">
      <x:c r="A18" s="11"/>
      <x:c r="B18" s="11"/>
      <x:c r="C18" s="11"/>
      <x:c r="D18" s="11"/>
      <x:c r="E18" s="12"/>
      <x:c r="F18" s="13"/>
      <x:c r="G18" s="13"/>
      <x:c r="H18" s="21" t="str">
        <x:f>IF(A18="","",COUNTIFS(Daily!$C$7:$C$206,A18,Daily!$B$7:$B$206,B18,Daily!$I$7:$I$206,"Accepted",Daily!$P$7:$P$206,"Recorded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" s="22" t="str">
        <x:f>IF(A18="","",IF(H18=0,"",SUMIFS(Daily!$H$7:$H$206,Daily!$C$7:$C$206,A18,Daily!$B$7:$B$206,B18,Daily!$I$7:$I$206,"Accepted",Daily!$P$7:$P$206,"Recorded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" s="23" t="str">
        <x:f>IF(A18="","",IF(OR(NOT(ISNUMBER(E18)),E18&lt;=0,I18=""),"",I18/E18))</x:f>
      </x:c>
      <x:c r="K18" s="23" t="str">
        <x:f>IF(A18="","",IF(OR(J18="",NOT(ISNUMBER(F18))),"",J18*F18))</x:f>
      </x:c>
      <x:c r="L18" s="23" t="str">
        <x:f>IF(A18="","",IF(OR(NOT(ISNUMBER(F18)),NOT(ISNUMBER(G18))),"",F18*G18))</x:f>
      </x:c>
      <x:c r="M18" s="11"/>
      <x:c r="N18" s="14"/>
      <x:c r="O18" s="11"/>
      <x:c r="P18" s="21" t="str">
        <x:f>IF(A18="","",IF(AND(COUNTIFS($A$7:$A$206,A18,$B$7:$B$206,B18)=1,B18=Setup!$B$4,D18&lt;&gt;"",ISNUMBER(E18),E18&gt;0,ISNUMBER(F18),F18&gt;=0,F18&lt;=1,ISNUMBER(G18),G18&gt;=0,G18&lt;=1,O18&lt;&gt;""),"Valid","Review baseline / ID / weight"))</x:f>
      </x:c>
    </x:row>
    <x:row r="19" ht="60" customHeight="1">
      <x:c r="A19" s="11"/>
      <x:c r="B19" s="11"/>
      <x:c r="C19" s="11"/>
      <x:c r="D19" s="11"/>
      <x:c r="E19" s="12"/>
      <x:c r="F19" s="13"/>
      <x:c r="G19" s="13"/>
      <x:c r="H19" s="21" t="str">
        <x:f>IF(A19="","",COUNTIFS(Daily!$C$7:$C$206,A19,Daily!$B$7:$B$206,B19,Daily!$I$7:$I$206,"Accepted",Daily!$P$7:$P$206,"Recorded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" s="22" t="str">
        <x:f>IF(A19="","",IF(H19=0,"",SUMIFS(Daily!$H$7:$H$206,Daily!$C$7:$C$206,A19,Daily!$B$7:$B$206,B19,Daily!$I$7:$I$206,"Accepted",Daily!$P$7:$P$206,"Recorded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" s="23" t="str">
        <x:f>IF(A19="","",IF(OR(NOT(ISNUMBER(E19)),E19&lt;=0,I19=""),"",I19/E19))</x:f>
      </x:c>
      <x:c r="K19" s="23" t="str">
        <x:f>IF(A19="","",IF(OR(J19="",NOT(ISNUMBER(F19))),"",J19*F19))</x:f>
      </x:c>
      <x:c r="L19" s="23" t="str">
        <x:f>IF(A19="","",IF(OR(NOT(ISNUMBER(F19)),NOT(ISNUMBER(G19))),"",F19*G19))</x:f>
      </x:c>
      <x:c r="M19" s="11"/>
      <x:c r="N19" s="14"/>
      <x:c r="O19" s="11"/>
      <x:c r="P19" s="21" t="str">
        <x:f>IF(A19="","",IF(AND(COUNTIFS($A$7:$A$206,A19,$B$7:$B$206,B19)=1,B19=Setup!$B$4,D19&lt;&gt;"",ISNUMBER(E19),E19&gt;0,ISNUMBER(F19),F19&gt;=0,F19&lt;=1,ISNUMBER(G19),G19&gt;=0,G19&lt;=1,O19&lt;&gt;""),"Valid","Review baseline / ID / weight"))</x:f>
      </x:c>
    </x:row>
    <x:row r="20" ht="60" customHeight="1">
      <x:c r="A20" s="11"/>
      <x:c r="B20" s="11"/>
      <x:c r="C20" s="11"/>
      <x:c r="D20" s="11"/>
      <x:c r="E20" s="12"/>
      <x:c r="F20" s="13"/>
      <x:c r="G20" s="13"/>
      <x:c r="H20" s="21" t="str">
        <x:f>IF(A20="","",COUNTIFS(Daily!$C$7:$C$206,A20,Daily!$B$7:$B$206,B20,Daily!$I$7:$I$206,"Accepted",Daily!$P$7:$P$206,"Recorded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" s="22" t="str">
        <x:f>IF(A20="","",IF(H20=0,"",SUMIFS(Daily!$H$7:$H$206,Daily!$C$7:$C$206,A20,Daily!$B$7:$B$206,B20,Daily!$I$7:$I$206,"Accepted",Daily!$P$7:$P$206,"Recorded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" s="23" t="str">
        <x:f>IF(A20="","",IF(OR(NOT(ISNUMBER(E20)),E20&lt;=0,I20=""),"",I20/E20))</x:f>
      </x:c>
      <x:c r="K20" s="23" t="str">
        <x:f>IF(A20="","",IF(OR(J20="",NOT(ISNUMBER(F20))),"",J20*F20))</x:f>
      </x:c>
      <x:c r="L20" s="23" t="str">
        <x:f>IF(A20="","",IF(OR(NOT(ISNUMBER(F20)),NOT(ISNUMBER(G20))),"",F20*G20))</x:f>
      </x:c>
      <x:c r="M20" s="11"/>
      <x:c r="N20" s="14"/>
      <x:c r="O20" s="11"/>
      <x:c r="P20" s="21" t="str">
        <x:f>IF(A20="","",IF(AND(COUNTIFS($A$7:$A$206,A20,$B$7:$B$206,B20)=1,B20=Setup!$B$4,D20&lt;&gt;"",ISNUMBER(E20),E20&gt;0,ISNUMBER(F20),F20&gt;=0,F20&lt;=1,ISNUMBER(G20),G20&gt;=0,G20&lt;=1,O20&lt;&gt;""),"Valid","Review baseline / ID / weight"))</x:f>
      </x:c>
    </x:row>
    <x:row r="21" ht="60" customHeight="1">
      <x:c r="A21" s="11"/>
      <x:c r="B21" s="11"/>
      <x:c r="C21" s="11"/>
      <x:c r="D21" s="11"/>
      <x:c r="E21" s="12"/>
      <x:c r="F21" s="13"/>
      <x:c r="G21" s="13"/>
      <x:c r="H21" s="21" t="str">
        <x:f>IF(A21="","",COUNTIFS(Daily!$C$7:$C$206,A21,Daily!$B$7:$B$206,B21,Daily!$I$7:$I$206,"Accepted",Daily!$P$7:$P$206,"Recorded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1" s="22" t="str">
        <x:f>IF(A21="","",IF(H21=0,"",SUMIFS(Daily!$H$7:$H$206,Daily!$C$7:$C$206,A21,Daily!$B$7:$B$206,B21,Daily!$I$7:$I$206,"Accepted",Daily!$P$7:$P$206,"Recorded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1" s="23" t="str">
        <x:f>IF(A21="","",IF(OR(NOT(ISNUMBER(E21)),E21&lt;=0,I21=""),"",I21/E21))</x:f>
      </x:c>
      <x:c r="K21" s="23" t="str">
        <x:f>IF(A21="","",IF(OR(J21="",NOT(ISNUMBER(F21))),"",J21*F21))</x:f>
      </x:c>
      <x:c r="L21" s="23" t="str">
        <x:f>IF(A21="","",IF(OR(NOT(ISNUMBER(F21)),NOT(ISNUMBER(G21))),"",F21*G21))</x:f>
      </x:c>
      <x:c r="M21" s="11"/>
      <x:c r="N21" s="14"/>
      <x:c r="O21" s="11"/>
      <x:c r="P21" s="21" t="str">
        <x:f>IF(A21="","",IF(AND(COUNTIFS($A$7:$A$206,A21,$B$7:$B$206,B21)=1,B21=Setup!$B$4,D21&lt;&gt;"",ISNUMBER(E21),E21&gt;0,ISNUMBER(F21),F21&gt;=0,F21&lt;=1,ISNUMBER(G21),G21&gt;=0,G21&lt;=1,O21&lt;&gt;""),"Valid","Review baseline / ID / weight"))</x:f>
      </x:c>
    </x:row>
    <x:row r="22" ht="60" customHeight="1">
      <x:c r="A22" s="11"/>
      <x:c r="B22" s="11"/>
      <x:c r="C22" s="11"/>
      <x:c r="D22" s="11"/>
      <x:c r="E22" s="12"/>
      <x:c r="F22" s="13"/>
      <x:c r="G22" s="13"/>
      <x:c r="H22" s="21" t="str">
        <x:f>IF(A22="","",COUNTIFS(Daily!$C$7:$C$206,A22,Daily!$B$7:$B$206,B22,Daily!$I$7:$I$206,"Accepted",Daily!$P$7:$P$206,"Recorded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2" s="22" t="str">
        <x:f>IF(A22="","",IF(H22=0,"",SUMIFS(Daily!$H$7:$H$206,Daily!$C$7:$C$206,A22,Daily!$B$7:$B$206,B22,Daily!$I$7:$I$206,"Accepted",Daily!$P$7:$P$206,"Recorded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2" s="23" t="str">
        <x:f>IF(A22="","",IF(OR(NOT(ISNUMBER(E22)),E22&lt;=0,I22=""),"",I22/E22))</x:f>
      </x:c>
      <x:c r="K22" s="23" t="str">
        <x:f>IF(A22="","",IF(OR(J22="",NOT(ISNUMBER(F22))),"",J22*F22))</x:f>
      </x:c>
      <x:c r="L22" s="23" t="str">
        <x:f>IF(A22="","",IF(OR(NOT(ISNUMBER(F22)),NOT(ISNUMBER(G22))),"",F22*G22))</x:f>
      </x:c>
      <x:c r="M22" s="11"/>
      <x:c r="N22" s="14"/>
      <x:c r="O22" s="11"/>
      <x:c r="P22" s="21" t="str">
        <x:f>IF(A22="","",IF(AND(COUNTIFS($A$7:$A$206,A22,$B$7:$B$206,B22)=1,B22=Setup!$B$4,D22&lt;&gt;"",ISNUMBER(E22),E22&gt;0,ISNUMBER(F22),F22&gt;=0,F22&lt;=1,ISNUMBER(G22),G22&gt;=0,G22&lt;=1,O22&lt;&gt;""),"Valid","Review baseline / ID / weight"))</x:f>
      </x:c>
    </x:row>
    <x:row r="23" ht="60" customHeight="1">
      <x:c r="A23" s="11"/>
      <x:c r="B23" s="11"/>
      <x:c r="C23" s="11"/>
      <x:c r="D23" s="11"/>
      <x:c r="E23" s="12"/>
      <x:c r="F23" s="13"/>
      <x:c r="G23" s="13"/>
      <x:c r="H23" s="21" t="str">
        <x:f>IF(A23="","",COUNTIFS(Daily!$C$7:$C$206,A23,Daily!$B$7:$B$206,B23,Daily!$I$7:$I$206,"Accepted",Daily!$P$7:$P$206,"Recorded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3" s="22" t="str">
        <x:f>IF(A23="","",IF(H23=0,"",SUMIFS(Daily!$H$7:$H$206,Daily!$C$7:$C$206,A23,Daily!$B$7:$B$206,B23,Daily!$I$7:$I$206,"Accepted",Daily!$P$7:$P$206,"Recorded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3" s="23" t="str">
        <x:f>IF(A23="","",IF(OR(NOT(ISNUMBER(E23)),E23&lt;=0,I23=""),"",I23/E23))</x:f>
      </x:c>
      <x:c r="K23" s="23" t="str">
        <x:f>IF(A23="","",IF(OR(J23="",NOT(ISNUMBER(F23))),"",J23*F23))</x:f>
      </x:c>
      <x:c r="L23" s="23" t="str">
        <x:f>IF(A23="","",IF(OR(NOT(ISNUMBER(F23)),NOT(ISNUMBER(G23))),"",F23*G23))</x:f>
      </x:c>
      <x:c r="M23" s="11"/>
      <x:c r="N23" s="14"/>
      <x:c r="O23" s="11"/>
      <x:c r="P23" s="21" t="str">
        <x:f>IF(A23="","",IF(AND(COUNTIFS($A$7:$A$206,A23,$B$7:$B$206,B23)=1,B23=Setup!$B$4,D23&lt;&gt;"",ISNUMBER(E23),E23&gt;0,ISNUMBER(F23),F23&gt;=0,F23&lt;=1,ISNUMBER(G23),G23&gt;=0,G23&lt;=1,O23&lt;&gt;""),"Valid","Review baseline / ID / weight"))</x:f>
      </x:c>
    </x:row>
    <x:row r="24" ht="60" customHeight="1">
      <x:c r="A24" s="11"/>
      <x:c r="B24" s="11"/>
      <x:c r="C24" s="11"/>
      <x:c r="D24" s="11"/>
      <x:c r="E24" s="12"/>
      <x:c r="F24" s="13"/>
      <x:c r="G24" s="13"/>
      <x:c r="H24" s="21" t="str">
        <x:f>IF(A24="","",COUNTIFS(Daily!$C$7:$C$206,A24,Daily!$B$7:$B$206,B24,Daily!$I$7:$I$206,"Accepted",Daily!$P$7:$P$206,"Recorded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4" s="22" t="str">
        <x:f>IF(A24="","",IF(H24=0,"",SUMIFS(Daily!$H$7:$H$206,Daily!$C$7:$C$206,A24,Daily!$B$7:$B$206,B24,Daily!$I$7:$I$206,"Accepted",Daily!$P$7:$P$206,"Recorded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4" s="23" t="str">
        <x:f>IF(A24="","",IF(OR(NOT(ISNUMBER(E24)),E24&lt;=0,I24=""),"",I24/E24))</x:f>
      </x:c>
      <x:c r="K24" s="23" t="str">
        <x:f>IF(A24="","",IF(OR(J24="",NOT(ISNUMBER(F24))),"",J24*F24))</x:f>
      </x:c>
      <x:c r="L24" s="23" t="str">
        <x:f>IF(A24="","",IF(OR(NOT(ISNUMBER(F24)),NOT(ISNUMBER(G24))),"",F24*G24))</x:f>
      </x:c>
      <x:c r="M24" s="11"/>
      <x:c r="N24" s="14"/>
      <x:c r="O24" s="11"/>
      <x:c r="P24" s="21" t="str">
        <x:f>IF(A24="","",IF(AND(COUNTIFS($A$7:$A$206,A24,$B$7:$B$206,B24)=1,B24=Setup!$B$4,D24&lt;&gt;"",ISNUMBER(E24),E24&gt;0,ISNUMBER(F24),F24&gt;=0,F24&lt;=1,ISNUMBER(G24),G24&gt;=0,G24&lt;=1,O24&lt;&gt;""),"Valid","Review baseline / ID / weight"))</x:f>
      </x:c>
    </x:row>
    <x:row r="25" ht="60" customHeight="1">
      <x:c r="A25" s="11"/>
      <x:c r="B25" s="11"/>
      <x:c r="C25" s="11"/>
      <x:c r="D25" s="11"/>
      <x:c r="E25" s="12"/>
      <x:c r="F25" s="13"/>
      <x:c r="G25" s="13"/>
      <x:c r="H25" s="21" t="str">
        <x:f>IF(A25="","",COUNTIFS(Daily!$C$7:$C$206,A25,Daily!$B$7:$B$206,B25,Daily!$I$7:$I$206,"Accepted",Daily!$P$7:$P$206,"Recorded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5" s="22" t="str">
        <x:f>IF(A25="","",IF(H25=0,"",SUMIFS(Daily!$H$7:$H$206,Daily!$C$7:$C$206,A25,Daily!$B$7:$B$206,B25,Daily!$I$7:$I$206,"Accepted",Daily!$P$7:$P$206,"Recorded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5" s="23" t="str">
        <x:f>IF(A25="","",IF(OR(NOT(ISNUMBER(E25)),E25&lt;=0,I25=""),"",I25/E25))</x:f>
      </x:c>
      <x:c r="K25" s="23" t="str">
        <x:f>IF(A25="","",IF(OR(J25="",NOT(ISNUMBER(F25))),"",J25*F25))</x:f>
      </x:c>
      <x:c r="L25" s="23" t="str">
        <x:f>IF(A25="","",IF(OR(NOT(ISNUMBER(F25)),NOT(ISNUMBER(G25))),"",F25*G25))</x:f>
      </x:c>
      <x:c r="M25" s="11"/>
      <x:c r="N25" s="14"/>
      <x:c r="O25" s="11"/>
      <x:c r="P25" s="21" t="str">
        <x:f>IF(A25="","",IF(AND(COUNTIFS($A$7:$A$206,A25,$B$7:$B$206,B25)=1,B25=Setup!$B$4,D25&lt;&gt;"",ISNUMBER(E25),E25&gt;0,ISNUMBER(F25),F25&gt;=0,F25&lt;=1,ISNUMBER(G25),G25&gt;=0,G25&lt;=1,O25&lt;&gt;""),"Valid","Review baseline / ID / weight"))</x:f>
      </x:c>
    </x:row>
    <x:row r="26" ht="60" customHeight="1">
      <x:c r="A26" s="11"/>
      <x:c r="B26" s="11"/>
      <x:c r="C26" s="11"/>
      <x:c r="D26" s="11"/>
      <x:c r="E26" s="12"/>
      <x:c r="F26" s="13"/>
      <x:c r="G26" s="13"/>
      <x:c r="H26" s="21" t="str">
        <x:f>IF(A26="","",COUNTIFS(Daily!$C$7:$C$206,A26,Daily!$B$7:$B$206,B26,Daily!$I$7:$I$206,"Accepted",Daily!$P$7:$P$206,"Recorded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6" s="22" t="str">
        <x:f>IF(A26="","",IF(H26=0,"",SUMIFS(Daily!$H$7:$H$206,Daily!$C$7:$C$206,A26,Daily!$B$7:$B$206,B26,Daily!$I$7:$I$206,"Accepted",Daily!$P$7:$P$206,"Recorded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6" s="23" t="str">
        <x:f>IF(A26="","",IF(OR(NOT(ISNUMBER(E26)),E26&lt;=0,I26=""),"",I26/E26))</x:f>
      </x:c>
      <x:c r="K26" s="23" t="str">
        <x:f>IF(A26="","",IF(OR(J26="",NOT(ISNUMBER(F26))),"",J26*F26))</x:f>
      </x:c>
      <x:c r="L26" s="23" t="str">
        <x:f>IF(A26="","",IF(OR(NOT(ISNUMBER(F26)),NOT(ISNUMBER(G26))),"",F26*G26))</x:f>
      </x:c>
      <x:c r="M26" s="11"/>
      <x:c r="N26" s="14"/>
      <x:c r="O26" s="11"/>
      <x:c r="P26" s="21" t="str">
        <x:f>IF(A26="","",IF(AND(COUNTIFS($A$7:$A$206,A26,$B$7:$B$206,B26)=1,B26=Setup!$B$4,D26&lt;&gt;"",ISNUMBER(E26),E26&gt;0,ISNUMBER(F26),F26&gt;=0,F26&lt;=1,ISNUMBER(G26),G26&gt;=0,G26&lt;=1,O26&lt;&gt;""),"Valid","Review baseline / ID / weight"))</x:f>
      </x:c>
    </x:row>
    <x:row r="27" ht="60" customHeight="1">
      <x:c r="A27" s="11"/>
      <x:c r="B27" s="11"/>
      <x:c r="C27" s="11"/>
      <x:c r="D27" s="11"/>
      <x:c r="E27" s="12"/>
      <x:c r="F27" s="13"/>
      <x:c r="G27" s="13"/>
      <x:c r="H27" s="21" t="str">
        <x:f>IF(A27="","",COUNTIFS(Daily!$C$7:$C$206,A27,Daily!$B$7:$B$206,B27,Daily!$I$7:$I$206,"Accepted",Daily!$P$7:$P$206,"Recorded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7" s="22" t="str">
        <x:f>IF(A27="","",IF(H27=0,"",SUMIFS(Daily!$H$7:$H$206,Daily!$C$7:$C$206,A27,Daily!$B$7:$B$206,B27,Daily!$I$7:$I$206,"Accepted",Daily!$P$7:$P$206,"Recorded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7" s="23" t="str">
        <x:f>IF(A27="","",IF(OR(NOT(ISNUMBER(E27)),E27&lt;=0,I27=""),"",I27/E27))</x:f>
      </x:c>
      <x:c r="K27" s="23" t="str">
        <x:f>IF(A27="","",IF(OR(J27="",NOT(ISNUMBER(F27))),"",J27*F27))</x:f>
      </x:c>
      <x:c r="L27" s="23" t="str">
        <x:f>IF(A27="","",IF(OR(NOT(ISNUMBER(F27)),NOT(ISNUMBER(G27))),"",F27*G27))</x:f>
      </x:c>
      <x:c r="M27" s="11"/>
      <x:c r="N27" s="14"/>
      <x:c r="O27" s="11"/>
      <x:c r="P27" s="21" t="str">
        <x:f>IF(A27="","",IF(AND(COUNTIFS($A$7:$A$206,A27,$B$7:$B$206,B27)=1,B27=Setup!$B$4,D27&lt;&gt;"",ISNUMBER(E27),E27&gt;0,ISNUMBER(F27),F27&gt;=0,F27&lt;=1,ISNUMBER(G27),G27&gt;=0,G27&lt;=1,O27&lt;&gt;""),"Valid","Review baseline / ID / weight"))</x:f>
      </x:c>
    </x:row>
    <x:row r="28" ht="60" customHeight="1">
      <x:c r="A28" s="11"/>
      <x:c r="B28" s="11"/>
      <x:c r="C28" s="11"/>
      <x:c r="D28" s="11"/>
      <x:c r="E28" s="12"/>
      <x:c r="F28" s="13"/>
      <x:c r="G28" s="13"/>
      <x:c r="H28" s="21" t="str">
        <x:f>IF(A28="","",COUNTIFS(Daily!$C$7:$C$206,A28,Daily!$B$7:$B$206,B28,Daily!$I$7:$I$206,"Accepted",Daily!$P$7:$P$206,"Recorded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8" s="22" t="str">
        <x:f>IF(A28="","",IF(H28=0,"",SUMIFS(Daily!$H$7:$H$206,Daily!$C$7:$C$206,A28,Daily!$B$7:$B$206,B28,Daily!$I$7:$I$206,"Accepted",Daily!$P$7:$P$206,"Recorded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8" s="23" t="str">
        <x:f>IF(A28="","",IF(OR(NOT(ISNUMBER(E28)),E28&lt;=0,I28=""),"",I28/E28))</x:f>
      </x:c>
      <x:c r="K28" s="23" t="str">
        <x:f>IF(A28="","",IF(OR(J28="",NOT(ISNUMBER(F28))),"",J28*F28))</x:f>
      </x:c>
      <x:c r="L28" s="23" t="str">
        <x:f>IF(A28="","",IF(OR(NOT(ISNUMBER(F28)),NOT(ISNUMBER(G28))),"",F28*G28))</x:f>
      </x:c>
      <x:c r="M28" s="11"/>
      <x:c r="N28" s="14"/>
      <x:c r="O28" s="11"/>
      <x:c r="P28" s="21" t="str">
        <x:f>IF(A28="","",IF(AND(COUNTIFS($A$7:$A$206,A28,$B$7:$B$206,B28)=1,B28=Setup!$B$4,D28&lt;&gt;"",ISNUMBER(E28),E28&gt;0,ISNUMBER(F28),F28&gt;=0,F28&lt;=1,ISNUMBER(G28),G28&gt;=0,G28&lt;=1,O28&lt;&gt;""),"Valid","Review baseline / ID / weight"))</x:f>
      </x:c>
    </x:row>
    <x:row r="29" ht="60" customHeight="1">
      <x:c r="A29" s="11"/>
      <x:c r="B29" s="11"/>
      <x:c r="C29" s="11"/>
      <x:c r="D29" s="11"/>
      <x:c r="E29" s="12"/>
      <x:c r="F29" s="13"/>
      <x:c r="G29" s="13"/>
      <x:c r="H29" s="21" t="str">
        <x:f>IF(A29="","",COUNTIFS(Daily!$C$7:$C$206,A29,Daily!$B$7:$B$206,B29,Daily!$I$7:$I$206,"Accepted",Daily!$P$7:$P$206,"Recorded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9" s="22" t="str">
        <x:f>IF(A29="","",IF(H29=0,"",SUMIFS(Daily!$H$7:$H$206,Daily!$C$7:$C$206,A29,Daily!$B$7:$B$206,B29,Daily!$I$7:$I$206,"Accepted",Daily!$P$7:$P$206,"Recorded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9" s="23" t="str">
        <x:f>IF(A29="","",IF(OR(NOT(ISNUMBER(E29)),E29&lt;=0,I29=""),"",I29/E29))</x:f>
      </x:c>
      <x:c r="K29" s="23" t="str">
        <x:f>IF(A29="","",IF(OR(J29="",NOT(ISNUMBER(F29))),"",J29*F29))</x:f>
      </x:c>
      <x:c r="L29" s="23" t="str">
        <x:f>IF(A29="","",IF(OR(NOT(ISNUMBER(F29)),NOT(ISNUMBER(G29))),"",F29*G29))</x:f>
      </x:c>
      <x:c r="M29" s="11"/>
      <x:c r="N29" s="14"/>
      <x:c r="O29" s="11"/>
      <x:c r="P29" s="21" t="str">
        <x:f>IF(A29="","",IF(AND(COUNTIFS($A$7:$A$206,A29,$B$7:$B$206,B29)=1,B29=Setup!$B$4,D29&lt;&gt;"",ISNUMBER(E29),E29&gt;0,ISNUMBER(F29),F29&gt;=0,F29&lt;=1,ISNUMBER(G29),G29&gt;=0,G29&lt;=1,O29&lt;&gt;""),"Valid","Review baseline / ID / weight"))</x:f>
      </x:c>
    </x:row>
    <x:row r="30" ht="60" customHeight="1">
      <x:c r="A30" s="11"/>
      <x:c r="B30" s="11"/>
      <x:c r="C30" s="11"/>
      <x:c r="D30" s="11"/>
      <x:c r="E30" s="12"/>
      <x:c r="F30" s="13"/>
      <x:c r="G30" s="13"/>
      <x:c r="H30" s="21" t="str">
        <x:f>IF(A30="","",COUNTIFS(Daily!$C$7:$C$206,A30,Daily!$B$7:$B$206,B30,Daily!$I$7:$I$206,"Accepted",Daily!$P$7:$P$206,"Recorded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0" s="22" t="str">
        <x:f>IF(A30="","",IF(H30=0,"",SUMIFS(Daily!$H$7:$H$206,Daily!$C$7:$C$206,A30,Daily!$B$7:$B$206,B30,Daily!$I$7:$I$206,"Accepted",Daily!$P$7:$P$206,"Recorded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0" s="23" t="str">
        <x:f>IF(A30="","",IF(OR(NOT(ISNUMBER(E30)),E30&lt;=0,I30=""),"",I30/E30))</x:f>
      </x:c>
      <x:c r="K30" s="23" t="str">
        <x:f>IF(A30="","",IF(OR(J30="",NOT(ISNUMBER(F30))),"",J30*F30))</x:f>
      </x:c>
      <x:c r="L30" s="23" t="str">
        <x:f>IF(A30="","",IF(OR(NOT(ISNUMBER(F30)),NOT(ISNUMBER(G30))),"",F30*G30))</x:f>
      </x:c>
      <x:c r="M30" s="11"/>
      <x:c r="N30" s="14"/>
      <x:c r="O30" s="11"/>
      <x:c r="P30" s="21" t="str">
        <x:f>IF(A30="","",IF(AND(COUNTIFS($A$7:$A$206,A30,$B$7:$B$206,B30)=1,B30=Setup!$B$4,D30&lt;&gt;"",ISNUMBER(E30),E30&gt;0,ISNUMBER(F30),F30&gt;=0,F30&lt;=1,ISNUMBER(G30),G30&gt;=0,G30&lt;=1,O30&lt;&gt;""),"Valid","Review baseline / ID / weight"))</x:f>
      </x:c>
    </x:row>
    <x:row r="31" ht="60" customHeight="1">
      <x:c r="A31" s="11"/>
      <x:c r="B31" s="11"/>
      <x:c r="C31" s="11"/>
      <x:c r="D31" s="11"/>
      <x:c r="E31" s="12"/>
      <x:c r="F31" s="13"/>
      <x:c r="G31" s="13"/>
      <x:c r="H31" s="21" t="str">
        <x:f>IF(A31="","",COUNTIFS(Daily!$C$7:$C$206,A31,Daily!$B$7:$B$206,B31,Daily!$I$7:$I$206,"Accepted",Daily!$P$7:$P$206,"Recorded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1" s="22" t="str">
        <x:f>IF(A31="","",IF(H31=0,"",SUMIFS(Daily!$H$7:$H$206,Daily!$C$7:$C$206,A31,Daily!$B$7:$B$206,B31,Daily!$I$7:$I$206,"Accepted",Daily!$P$7:$P$206,"Recorded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1" s="23" t="str">
        <x:f>IF(A31="","",IF(OR(NOT(ISNUMBER(E31)),E31&lt;=0,I31=""),"",I31/E31))</x:f>
      </x:c>
      <x:c r="K31" s="23" t="str">
        <x:f>IF(A31="","",IF(OR(J31="",NOT(ISNUMBER(F31))),"",J31*F31))</x:f>
      </x:c>
      <x:c r="L31" s="23" t="str">
        <x:f>IF(A31="","",IF(OR(NOT(ISNUMBER(F31)),NOT(ISNUMBER(G31))),"",F31*G31))</x:f>
      </x:c>
      <x:c r="M31" s="11"/>
      <x:c r="N31" s="14"/>
      <x:c r="O31" s="11"/>
      <x:c r="P31" s="21" t="str">
        <x:f>IF(A31="","",IF(AND(COUNTIFS($A$7:$A$206,A31,$B$7:$B$206,B31)=1,B31=Setup!$B$4,D31&lt;&gt;"",ISNUMBER(E31),E31&gt;0,ISNUMBER(F31),F31&gt;=0,F31&lt;=1,ISNUMBER(G31),G31&gt;=0,G31&lt;=1,O31&lt;&gt;""),"Valid","Review baseline / ID / weight"))</x:f>
      </x:c>
    </x:row>
    <x:row r="32" ht="60" customHeight="1">
      <x:c r="A32" s="11"/>
      <x:c r="B32" s="11"/>
      <x:c r="C32" s="11"/>
      <x:c r="D32" s="11"/>
      <x:c r="E32" s="12"/>
      <x:c r="F32" s="13"/>
      <x:c r="G32" s="13"/>
      <x:c r="H32" s="21" t="str">
        <x:f>IF(A32="","",COUNTIFS(Daily!$C$7:$C$206,A32,Daily!$B$7:$B$206,B32,Daily!$I$7:$I$206,"Accepted",Daily!$P$7:$P$206,"Recorded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2" s="22" t="str">
        <x:f>IF(A32="","",IF(H32=0,"",SUMIFS(Daily!$H$7:$H$206,Daily!$C$7:$C$206,A32,Daily!$B$7:$B$206,B32,Daily!$I$7:$I$206,"Accepted",Daily!$P$7:$P$206,"Recorded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2" s="23" t="str">
        <x:f>IF(A32="","",IF(OR(NOT(ISNUMBER(E32)),E32&lt;=0,I32=""),"",I32/E32))</x:f>
      </x:c>
      <x:c r="K32" s="23" t="str">
        <x:f>IF(A32="","",IF(OR(J32="",NOT(ISNUMBER(F32))),"",J32*F32))</x:f>
      </x:c>
      <x:c r="L32" s="23" t="str">
        <x:f>IF(A32="","",IF(OR(NOT(ISNUMBER(F32)),NOT(ISNUMBER(G32))),"",F32*G32))</x:f>
      </x:c>
      <x:c r="M32" s="11"/>
      <x:c r="N32" s="14"/>
      <x:c r="O32" s="11"/>
      <x:c r="P32" s="21" t="str">
        <x:f>IF(A32="","",IF(AND(COUNTIFS($A$7:$A$206,A32,$B$7:$B$206,B32)=1,B32=Setup!$B$4,D32&lt;&gt;"",ISNUMBER(E32),E32&gt;0,ISNUMBER(F32),F32&gt;=0,F32&lt;=1,ISNUMBER(G32),G32&gt;=0,G32&lt;=1,O32&lt;&gt;""),"Valid","Review baseline / ID / weight"))</x:f>
      </x:c>
    </x:row>
    <x:row r="33" ht="60" customHeight="1">
      <x:c r="A33" s="11"/>
      <x:c r="B33" s="11"/>
      <x:c r="C33" s="11"/>
      <x:c r="D33" s="11"/>
      <x:c r="E33" s="12"/>
      <x:c r="F33" s="13"/>
      <x:c r="G33" s="13"/>
      <x:c r="H33" s="21" t="str">
        <x:f>IF(A33="","",COUNTIFS(Daily!$C$7:$C$206,A33,Daily!$B$7:$B$206,B33,Daily!$I$7:$I$206,"Accepted",Daily!$P$7:$P$206,"Recorded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3" s="22" t="str">
        <x:f>IF(A33="","",IF(H33=0,"",SUMIFS(Daily!$H$7:$H$206,Daily!$C$7:$C$206,A33,Daily!$B$7:$B$206,B33,Daily!$I$7:$I$206,"Accepted",Daily!$P$7:$P$206,"Recorded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3" s="23" t="str">
        <x:f>IF(A33="","",IF(OR(NOT(ISNUMBER(E33)),E33&lt;=0,I33=""),"",I33/E33))</x:f>
      </x:c>
      <x:c r="K33" s="23" t="str">
        <x:f>IF(A33="","",IF(OR(J33="",NOT(ISNUMBER(F33))),"",J33*F33))</x:f>
      </x:c>
      <x:c r="L33" s="23" t="str">
        <x:f>IF(A33="","",IF(OR(NOT(ISNUMBER(F33)),NOT(ISNUMBER(G33))),"",F33*G33))</x:f>
      </x:c>
      <x:c r="M33" s="11"/>
      <x:c r="N33" s="14"/>
      <x:c r="O33" s="11"/>
      <x:c r="P33" s="21" t="str">
        <x:f>IF(A33="","",IF(AND(COUNTIFS($A$7:$A$206,A33,$B$7:$B$206,B33)=1,B33=Setup!$B$4,D33&lt;&gt;"",ISNUMBER(E33),E33&gt;0,ISNUMBER(F33),F33&gt;=0,F33&lt;=1,ISNUMBER(G33),G33&gt;=0,G33&lt;=1,O33&lt;&gt;""),"Valid","Review baseline / ID / weight"))</x:f>
      </x:c>
    </x:row>
    <x:row r="34" ht="60" customHeight="1">
      <x:c r="A34" s="11"/>
      <x:c r="B34" s="11"/>
      <x:c r="C34" s="11"/>
      <x:c r="D34" s="11"/>
      <x:c r="E34" s="12"/>
      <x:c r="F34" s="13"/>
      <x:c r="G34" s="13"/>
      <x:c r="H34" s="21" t="str">
        <x:f>IF(A34="","",COUNTIFS(Daily!$C$7:$C$206,A34,Daily!$B$7:$B$206,B34,Daily!$I$7:$I$206,"Accepted",Daily!$P$7:$P$206,"Recorded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4" s="22" t="str">
        <x:f>IF(A34="","",IF(H34=0,"",SUMIFS(Daily!$H$7:$H$206,Daily!$C$7:$C$206,A34,Daily!$B$7:$B$206,B34,Daily!$I$7:$I$206,"Accepted",Daily!$P$7:$P$206,"Recorded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4" s="23" t="str">
        <x:f>IF(A34="","",IF(OR(NOT(ISNUMBER(E34)),E34&lt;=0,I34=""),"",I34/E34))</x:f>
      </x:c>
      <x:c r="K34" s="23" t="str">
        <x:f>IF(A34="","",IF(OR(J34="",NOT(ISNUMBER(F34))),"",J34*F34))</x:f>
      </x:c>
      <x:c r="L34" s="23" t="str">
        <x:f>IF(A34="","",IF(OR(NOT(ISNUMBER(F34)),NOT(ISNUMBER(G34))),"",F34*G34))</x:f>
      </x:c>
      <x:c r="M34" s="11"/>
      <x:c r="N34" s="14"/>
      <x:c r="O34" s="11"/>
      <x:c r="P34" s="21" t="str">
        <x:f>IF(A34="","",IF(AND(COUNTIFS($A$7:$A$206,A34,$B$7:$B$206,B34)=1,B34=Setup!$B$4,D34&lt;&gt;"",ISNUMBER(E34),E34&gt;0,ISNUMBER(F34),F34&gt;=0,F34&lt;=1,ISNUMBER(G34),G34&gt;=0,G34&lt;=1,O34&lt;&gt;""),"Valid","Review baseline / ID / weight"))</x:f>
      </x:c>
    </x:row>
    <x:row r="35" ht="60" customHeight="1">
      <x:c r="A35" s="11"/>
      <x:c r="B35" s="11"/>
      <x:c r="C35" s="11"/>
      <x:c r="D35" s="11"/>
      <x:c r="E35" s="12"/>
      <x:c r="F35" s="13"/>
      <x:c r="G35" s="13"/>
      <x:c r="H35" s="21" t="str">
        <x:f>IF(A35="","",COUNTIFS(Daily!$C$7:$C$206,A35,Daily!$B$7:$B$206,B35,Daily!$I$7:$I$206,"Accepted",Daily!$P$7:$P$206,"Recorded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5" s="22" t="str">
        <x:f>IF(A35="","",IF(H35=0,"",SUMIFS(Daily!$H$7:$H$206,Daily!$C$7:$C$206,A35,Daily!$B$7:$B$206,B35,Daily!$I$7:$I$206,"Accepted",Daily!$P$7:$P$206,"Recorded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5" s="23" t="str">
        <x:f>IF(A35="","",IF(OR(NOT(ISNUMBER(E35)),E35&lt;=0,I35=""),"",I35/E35))</x:f>
      </x:c>
      <x:c r="K35" s="23" t="str">
        <x:f>IF(A35="","",IF(OR(J35="",NOT(ISNUMBER(F35))),"",J35*F35))</x:f>
      </x:c>
      <x:c r="L35" s="23" t="str">
        <x:f>IF(A35="","",IF(OR(NOT(ISNUMBER(F35)),NOT(ISNUMBER(G35))),"",F35*G35))</x:f>
      </x:c>
      <x:c r="M35" s="11"/>
      <x:c r="N35" s="14"/>
      <x:c r="O35" s="11"/>
      <x:c r="P35" s="21" t="str">
        <x:f>IF(A35="","",IF(AND(COUNTIFS($A$7:$A$206,A35,$B$7:$B$206,B35)=1,B35=Setup!$B$4,D35&lt;&gt;"",ISNUMBER(E35),E35&gt;0,ISNUMBER(F35),F35&gt;=0,F35&lt;=1,ISNUMBER(G35),G35&gt;=0,G35&lt;=1,O35&lt;&gt;""),"Valid","Review baseline / ID / weight"))</x:f>
      </x:c>
    </x:row>
    <x:row r="36" ht="60" customHeight="1">
      <x:c r="A36" s="11"/>
      <x:c r="B36" s="11"/>
      <x:c r="C36" s="11"/>
      <x:c r="D36" s="11"/>
      <x:c r="E36" s="12"/>
      <x:c r="F36" s="13"/>
      <x:c r="G36" s="13"/>
      <x:c r="H36" s="21" t="str">
        <x:f>IF(A36="","",COUNTIFS(Daily!$C$7:$C$206,A36,Daily!$B$7:$B$206,B36,Daily!$I$7:$I$206,"Accepted",Daily!$P$7:$P$206,"Recorded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6" s="22" t="str">
        <x:f>IF(A36="","",IF(H36=0,"",SUMIFS(Daily!$H$7:$H$206,Daily!$C$7:$C$206,A36,Daily!$B$7:$B$206,B36,Daily!$I$7:$I$206,"Accepted",Daily!$P$7:$P$206,"Recorded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6" s="23" t="str">
        <x:f>IF(A36="","",IF(OR(NOT(ISNUMBER(E36)),E36&lt;=0,I36=""),"",I36/E36))</x:f>
      </x:c>
      <x:c r="K36" s="23" t="str">
        <x:f>IF(A36="","",IF(OR(J36="",NOT(ISNUMBER(F36))),"",J36*F36))</x:f>
      </x:c>
      <x:c r="L36" s="23" t="str">
        <x:f>IF(A36="","",IF(OR(NOT(ISNUMBER(F36)),NOT(ISNUMBER(G36))),"",F36*G36))</x:f>
      </x:c>
      <x:c r="M36" s="11"/>
      <x:c r="N36" s="14"/>
      <x:c r="O36" s="11"/>
      <x:c r="P36" s="21" t="str">
        <x:f>IF(A36="","",IF(AND(COUNTIFS($A$7:$A$206,A36,$B$7:$B$206,B36)=1,B36=Setup!$B$4,D36&lt;&gt;"",ISNUMBER(E36),E36&gt;0,ISNUMBER(F36),F36&gt;=0,F36&lt;=1,ISNUMBER(G36),G36&gt;=0,G36&lt;=1,O36&lt;&gt;""),"Valid","Review baseline / ID / weight"))</x:f>
      </x:c>
    </x:row>
    <x:row r="37" ht="60" customHeight="1">
      <x:c r="A37" s="11"/>
      <x:c r="B37" s="11"/>
      <x:c r="C37" s="11"/>
      <x:c r="D37" s="11"/>
      <x:c r="E37" s="12"/>
      <x:c r="F37" s="13"/>
      <x:c r="G37" s="13"/>
      <x:c r="H37" s="21" t="str">
        <x:f>IF(A37="","",COUNTIFS(Daily!$C$7:$C$206,A37,Daily!$B$7:$B$206,B37,Daily!$I$7:$I$206,"Accepted",Daily!$P$7:$P$206,"Recorded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7" s="22" t="str">
        <x:f>IF(A37="","",IF(H37=0,"",SUMIFS(Daily!$H$7:$H$206,Daily!$C$7:$C$206,A37,Daily!$B$7:$B$206,B37,Daily!$I$7:$I$206,"Accepted",Daily!$P$7:$P$206,"Recorded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7" s="23" t="str">
        <x:f>IF(A37="","",IF(OR(NOT(ISNUMBER(E37)),E37&lt;=0,I37=""),"",I37/E37))</x:f>
      </x:c>
      <x:c r="K37" s="23" t="str">
        <x:f>IF(A37="","",IF(OR(J37="",NOT(ISNUMBER(F37))),"",J37*F37))</x:f>
      </x:c>
      <x:c r="L37" s="23" t="str">
        <x:f>IF(A37="","",IF(OR(NOT(ISNUMBER(F37)),NOT(ISNUMBER(G37))),"",F37*G37))</x:f>
      </x:c>
      <x:c r="M37" s="11"/>
      <x:c r="N37" s="14"/>
      <x:c r="O37" s="11"/>
      <x:c r="P37" s="21" t="str">
        <x:f>IF(A37="","",IF(AND(COUNTIFS($A$7:$A$206,A37,$B$7:$B$206,B37)=1,B37=Setup!$B$4,D37&lt;&gt;"",ISNUMBER(E37),E37&gt;0,ISNUMBER(F37),F37&gt;=0,F37&lt;=1,ISNUMBER(G37),G37&gt;=0,G37&lt;=1,O37&lt;&gt;""),"Valid","Review baseline / ID / weight"))</x:f>
      </x:c>
    </x:row>
    <x:row r="38" ht="60" customHeight="1">
      <x:c r="A38" s="11"/>
      <x:c r="B38" s="11"/>
      <x:c r="C38" s="11"/>
      <x:c r="D38" s="11"/>
      <x:c r="E38" s="12"/>
      <x:c r="F38" s="13"/>
      <x:c r="G38" s="13"/>
      <x:c r="H38" s="21" t="str">
        <x:f>IF(A38="","",COUNTIFS(Daily!$C$7:$C$206,A38,Daily!$B$7:$B$206,B38,Daily!$I$7:$I$206,"Accepted",Daily!$P$7:$P$206,"Recorded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8" s="22" t="str">
        <x:f>IF(A38="","",IF(H38=0,"",SUMIFS(Daily!$H$7:$H$206,Daily!$C$7:$C$206,A38,Daily!$B$7:$B$206,B38,Daily!$I$7:$I$206,"Accepted",Daily!$P$7:$P$206,"Recorded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8" s="23" t="str">
        <x:f>IF(A38="","",IF(OR(NOT(ISNUMBER(E38)),E38&lt;=0,I38=""),"",I38/E38))</x:f>
      </x:c>
      <x:c r="K38" s="23" t="str">
        <x:f>IF(A38="","",IF(OR(J38="",NOT(ISNUMBER(F38))),"",J38*F38))</x:f>
      </x:c>
      <x:c r="L38" s="23" t="str">
        <x:f>IF(A38="","",IF(OR(NOT(ISNUMBER(F38)),NOT(ISNUMBER(G38))),"",F38*G38))</x:f>
      </x:c>
      <x:c r="M38" s="11"/>
      <x:c r="N38" s="14"/>
      <x:c r="O38" s="11"/>
      <x:c r="P38" s="21" t="str">
        <x:f>IF(A38="","",IF(AND(COUNTIFS($A$7:$A$206,A38,$B$7:$B$206,B38)=1,B38=Setup!$B$4,D38&lt;&gt;"",ISNUMBER(E38),E38&gt;0,ISNUMBER(F38),F38&gt;=0,F38&lt;=1,ISNUMBER(G38),G38&gt;=0,G38&lt;=1,O38&lt;&gt;""),"Valid","Review baseline / ID / weight"))</x:f>
      </x:c>
    </x:row>
    <x:row r="39" ht="60" customHeight="1">
      <x:c r="A39" s="11"/>
      <x:c r="B39" s="11"/>
      <x:c r="C39" s="11"/>
      <x:c r="D39" s="11"/>
      <x:c r="E39" s="12"/>
      <x:c r="F39" s="13"/>
      <x:c r="G39" s="13"/>
      <x:c r="H39" s="21" t="str">
        <x:f>IF(A39="","",COUNTIFS(Daily!$C$7:$C$206,A39,Daily!$B$7:$B$206,B39,Daily!$I$7:$I$206,"Accepted",Daily!$P$7:$P$206,"Recorded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9" s="22" t="str">
        <x:f>IF(A39="","",IF(H39=0,"",SUMIFS(Daily!$H$7:$H$206,Daily!$C$7:$C$206,A39,Daily!$B$7:$B$206,B39,Daily!$I$7:$I$206,"Accepted",Daily!$P$7:$P$206,"Recorded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9" s="23" t="str">
        <x:f>IF(A39="","",IF(OR(NOT(ISNUMBER(E39)),E39&lt;=0,I39=""),"",I39/E39))</x:f>
      </x:c>
      <x:c r="K39" s="23" t="str">
        <x:f>IF(A39="","",IF(OR(J39="",NOT(ISNUMBER(F39))),"",J39*F39))</x:f>
      </x:c>
      <x:c r="L39" s="23" t="str">
        <x:f>IF(A39="","",IF(OR(NOT(ISNUMBER(F39)),NOT(ISNUMBER(G39))),"",F39*G39))</x:f>
      </x:c>
      <x:c r="M39" s="11"/>
      <x:c r="N39" s="14"/>
      <x:c r="O39" s="11"/>
      <x:c r="P39" s="21" t="str">
        <x:f>IF(A39="","",IF(AND(COUNTIFS($A$7:$A$206,A39,$B$7:$B$206,B39)=1,B39=Setup!$B$4,D39&lt;&gt;"",ISNUMBER(E39),E39&gt;0,ISNUMBER(F39),F39&gt;=0,F39&lt;=1,ISNUMBER(G39),G39&gt;=0,G39&lt;=1,O39&lt;&gt;""),"Valid","Review baseline / ID / weight"))</x:f>
      </x:c>
    </x:row>
    <x:row r="40" ht="60" customHeight="1">
      <x:c r="A40" s="11"/>
      <x:c r="B40" s="11"/>
      <x:c r="C40" s="11"/>
      <x:c r="D40" s="11"/>
      <x:c r="E40" s="12"/>
      <x:c r="F40" s="13"/>
      <x:c r="G40" s="13"/>
      <x:c r="H40" s="21" t="str">
        <x:f>IF(A40="","",COUNTIFS(Daily!$C$7:$C$206,A40,Daily!$B$7:$B$206,B40,Daily!$I$7:$I$206,"Accepted",Daily!$P$7:$P$206,"Recorded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0" s="22" t="str">
        <x:f>IF(A40="","",IF(H40=0,"",SUMIFS(Daily!$H$7:$H$206,Daily!$C$7:$C$206,A40,Daily!$B$7:$B$206,B40,Daily!$I$7:$I$206,"Accepted",Daily!$P$7:$P$206,"Recorded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0" s="23" t="str">
        <x:f>IF(A40="","",IF(OR(NOT(ISNUMBER(E40)),E40&lt;=0,I40=""),"",I40/E40))</x:f>
      </x:c>
      <x:c r="K40" s="23" t="str">
        <x:f>IF(A40="","",IF(OR(J40="",NOT(ISNUMBER(F40))),"",J40*F40))</x:f>
      </x:c>
      <x:c r="L40" s="23" t="str">
        <x:f>IF(A40="","",IF(OR(NOT(ISNUMBER(F40)),NOT(ISNUMBER(G40))),"",F40*G40))</x:f>
      </x:c>
      <x:c r="M40" s="11"/>
      <x:c r="N40" s="14"/>
      <x:c r="O40" s="11"/>
      <x:c r="P40" s="21" t="str">
        <x:f>IF(A40="","",IF(AND(COUNTIFS($A$7:$A$206,A40,$B$7:$B$206,B40)=1,B40=Setup!$B$4,D40&lt;&gt;"",ISNUMBER(E40),E40&gt;0,ISNUMBER(F40),F40&gt;=0,F40&lt;=1,ISNUMBER(G40),G40&gt;=0,G40&lt;=1,O40&lt;&gt;""),"Valid","Review baseline / ID / weight"))</x:f>
      </x:c>
    </x:row>
    <x:row r="41" ht="60" customHeight="1">
      <x:c r="A41" s="11"/>
      <x:c r="B41" s="11"/>
      <x:c r="C41" s="11"/>
      <x:c r="D41" s="11"/>
      <x:c r="E41" s="12"/>
      <x:c r="F41" s="13"/>
      <x:c r="G41" s="13"/>
      <x:c r="H41" s="21" t="str">
        <x:f>IF(A41="","",COUNTIFS(Daily!$C$7:$C$206,A41,Daily!$B$7:$B$206,B41,Daily!$I$7:$I$206,"Accepted",Daily!$P$7:$P$206,"Recorded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1" s="22" t="str">
        <x:f>IF(A41="","",IF(H41=0,"",SUMIFS(Daily!$H$7:$H$206,Daily!$C$7:$C$206,A41,Daily!$B$7:$B$206,B41,Daily!$I$7:$I$206,"Accepted",Daily!$P$7:$P$206,"Recorded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1" s="23" t="str">
        <x:f>IF(A41="","",IF(OR(NOT(ISNUMBER(E41)),E41&lt;=0,I41=""),"",I41/E41))</x:f>
      </x:c>
      <x:c r="K41" s="23" t="str">
        <x:f>IF(A41="","",IF(OR(J41="",NOT(ISNUMBER(F41))),"",J41*F41))</x:f>
      </x:c>
      <x:c r="L41" s="23" t="str">
        <x:f>IF(A41="","",IF(OR(NOT(ISNUMBER(F41)),NOT(ISNUMBER(G41))),"",F41*G41))</x:f>
      </x:c>
      <x:c r="M41" s="11"/>
      <x:c r="N41" s="14"/>
      <x:c r="O41" s="11"/>
      <x:c r="P41" s="21" t="str">
        <x:f>IF(A41="","",IF(AND(COUNTIFS($A$7:$A$206,A41,$B$7:$B$206,B41)=1,B41=Setup!$B$4,D41&lt;&gt;"",ISNUMBER(E41),E41&gt;0,ISNUMBER(F41),F41&gt;=0,F41&lt;=1,ISNUMBER(G41),G41&gt;=0,G41&lt;=1,O41&lt;&gt;""),"Valid","Review baseline / ID / weight"))</x:f>
      </x:c>
    </x:row>
    <x:row r="42" ht="60" customHeight="1">
      <x:c r="A42" s="11"/>
      <x:c r="B42" s="11"/>
      <x:c r="C42" s="11"/>
      <x:c r="D42" s="11"/>
      <x:c r="E42" s="12"/>
      <x:c r="F42" s="13"/>
      <x:c r="G42" s="13"/>
      <x:c r="H42" s="21" t="str">
        <x:f>IF(A42="","",COUNTIFS(Daily!$C$7:$C$206,A42,Daily!$B$7:$B$206,B42,Daily!$I$7:$I$206,"Accepted",Daily!$P$7:$P$206,"Recorded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2" s="22" t="str">
        <x:f>IF(A42="","",IF(H42=0,"",SUMIFS(Daily!$H$7:$H$206,Daily!$C$7:$C$206,A42,Daily!$B$7:$B$206,B42,Daily!$I$7:$I$206,"Accepted",Daily!$P$7:$P$206,"Recorded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2" s="23" t="str">
        <x:f>IF(A42="","",IF(OR(NOT(ISNUMBER(E42)),E42&lt;=0,I42=""),"",I42/E42))</x:f>
      </x:c>
      <x:c r="K42" s="23" t="str">
        <x:f>IF(A42="","",IF(OR(J42="",NOT(ISNUMBER(F42))),"",J42*F42))</x:f>
      </x:c>
      <x:c r="L42" s="23" t="str">
        <x:f>IF(A42="","",IF(OR(NOT(ISNUMBER(F42)),NOT(ISNUMBER(G42))),"",F42*G42))</x:f>
      </x:c>
      <x:c r="M42" s="11"/>
      <x:c r="N42" s="14"/>
      <x:c r="O42" s="11"/>
      <x:c r="P42" s="21" t="str">
        <x:f>IF(A42="","",IF(AND(COUNTIFS($A$7:$A$206,A42,$B$7:$B$206,B42)=1,B42=Setup!$B$4,D42&lt;&gt;"",ISNUMBER(E42),E42&gt;0,ISNUMBER(F42),F42&gt;=0,F42&lt;=1,ISNUMBER(G42),G42&gt;=0,G42&lt;=1,O42&lt;&gt;""),"Valid","Review baseline / ID / weight"))</x:f>
      </x:c>
    </x:row>
    <x:row r="43" ht="60" customHeight="1">
      <x:c r="A43" s="11"/>
      <x:c r="B43" s="11"/>
      <x:c r="C43" s="11"/>
      <x:c r="D43" s="11"/>
      <x:c r="E43" s="12"/>
      <x:c r="F43" s="13"/>
      <x:c r="G43" s="13"/>
      <x:c r="H43" s="21" t="str">
        <x:f>IF(A43="","",COUNTIFS(Daily!$C$7:$C$206,A43,Daily!$B$7:$B$206,B43,Daily!$I$7:$I$206,"Accepted",Daily!$P$7:$P$206,"Recorded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3" s="22" t="str">
        <x:f>IF(A43="","",IF(H43=0,"",SUMIFS(Daily!$H$7:$H$206,Daily!$C$7:$C$206,A43,Daily!$B$7:$B$206,B43,Daily!$I$7:$I$206,"Accepted",Daily!$P$7:$P$206,"Recorded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3" s="23" t="str">
        <x:f>IF(A43="","",IF(OR(NOT(ISNUMBER(E43)),E43&lt;=0,I43=""),"",I43/E43))</x:f>
      </x:c>
      <x:c r="K43" s="23" t="str">
        <x:f>IF(A43="","",IF(OR(J43="",NOT(ISNUMBER(F43))),"",J43*F43))</x:f>
      </x:c>
      <x:c r="L43" s="23" t="str">
        <x:f>IF(A43="","",IF(OR(NOT(ISNUMBER(F43)),NOT(ISNUMBER(G43))),"",F43*G43))</x:f>
      </x:c>
      <x:c r="M43" s="11"/>
      <x:c r="N43" s="14"/>
      <x:c r="O43" s="11"/>
      <x:c r="P43" s="21" t="str">
        <x:f>IF(A43="","",IF(AND(COUNTIFS($A$7:$A$206,A43,$B$7:$B$206,B43)=1,B43=Setup!$B$4,D43&lt;&gt;"",ISNUMBER(E43),E43&gt;0,ISNUMBER(F43),F43&gt;=0,F43&lt;=1,ISNUMBER(G43),G43&gt;=0,G43&lt;=1,O43&lt;&gt;""),"Valid","Review baseline / ID / weight"))</x:f>
      </x:c>
    </x:row>
    <x:row r="44" ht="60" customHeight="1">
      <x:c r="A44" s="11"/>
      <x:c r="B44" s="11"/>
      <x:c r="C44" s="11"/>
      <x:c r="D44" s="11"/>
      <x:c r="E44" s="12"/>
      <x:c r="F44" s="13"/>
      <x:c r="G44" s="13"/>
      <x:c r="H44" s="21" t="str">
        <x:f>IF(A44="","",COUNTIFS(Daily!$C$7:$C$206,A44,Daily!$B$7:$B$206,B44,Daily!$I$7:$I$206,"Accepted",Daily!$P$7:$P$206,"Recorded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4" s="22" t="str">
        <x:f>IF(A44="","",IF(H44=0,"",SUMIFS(Daily!$H$7:$H$206,Daily!$C$7:$C$206,A44,Daily!$B$7:$B$206,B44,Daily!$I$7:$I$206,"Accepted",Daily!$P$7:$P$206,"Recorded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4" s="23" t="str">
        <x:f>IF(A44="","",IF(OR(NOT(ISNUMBER(E44)),E44&lt;=0,I44=""),"",I44/E44))</x:f>
      </x:c>
      <x:c r="K44" s="23" t="str">
        <x:f>IF(A44="","",IF(OR(J44="",NOT(ISNUMBER(F44))),"",J44*F44))</x:f>
      </x:c>
      <x:c r="L44" s="23" t="str">
        <x:f>IF(A44="","",IF(OR(NOT(ISNUMBER(F44)),NOT(ISNUMBER(G44))),"",F44*G44))</x:f>
      </x:c>
      <x:c r="M44" s="11"/>
      <x:c r="N44" s="14"/>
      <x:c r="O44" s="11"/>
      <x:c r="P44" s="21" t="str">
        <x:f>IF(A44="","",IF(AND(COUNTIFS($A$7:$A$206,A44,$B$7:$B$206,B44)=1,B44=Setup!$B$4,D44&lt;&gt;"",ISNUMBER(E44),E44&gt;0,ISNUMBER(F44),F44&gt;=0,F44&lt;=1,ISNUMBER(G44),G44&gt;=0,G44&lt;=1,O44&lt;&gt;""),"Valid","Review baseline / ID / weight"))</x:f>
      </x:c>
    </x:row>
    <x:row r="45" ht="60" customHeight="1">
      <x:c r="A45" s="11"/>
      <x:c r="B45" s="11"/>
      <x:c r="C45" s="11"/>
      <x:c r="D45" s="11"/>
      <x:c r="E45" s="12"/>
      <x:c r="F45" s="13"/>
      <x:c r="G45" s="13"/>
      <x:c r="H45" s="21" t="str">
        <x:f>IF(A45="","",COUNTIFS(Daily!$C$7:$C$206,A45,Daily!$B$7:$B$206,B45,Daily!$I$7:$I$206,"Accepted",Daily!$P$7:$P$206,"Recorded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5" s="22" t="str">
        <x:f>IF(A45="","",IF(H45=0,"",SUMIFS(Daily!$H$7:$H$206,Daily!$C$7:$C$206,A45,Daily!$B$7:$B$206,B45,Daily!$I$7:$I$206,"Accepted",Daily!$P$7:$P$206,"Recorded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5" s="23" t="str">
        <x:f>IF(A45="","",IF(OR(NOT(ISNUMBER(E45)),E45&lt;=0,I45=""),"",I45/E45))</x:f>
      </x:c>
      <x:c r="K45" s="23" t="str">
        <x:f>IF(A45="","",IF(OR(J45="",NOT(ISNUMBER(F45))),"",J45*F45))</x:f>
      </x:c>
      <x:c r="L45" s="23" t="str">
        <x:f>IF(A45="","",IF(OR(NOT(ISNUMBER(F45)),NOT(ISNUMBER(G45))),"",F45*G45))</x:f>
      </x:c>
      <x:c r="M45" s="11"/>
      <x:c r="N45" s="14"/>
      <x:c r="O45" s="11"/>
      <x:c r="P45" s="21" t="str">
        <x:f>IF(A45="","",IF(AND(COUNTIFS($A$7:$A$206,A45,$B$7:$B$206,B45)=1,B45=Setup!$B$4,D45&lt;&gt;"",ISNUMBER(E45),E45&gt;0,ISNUMBER(F45),F45&gt;=0,F45&lt;=1,ISNUMBER(G45),G45&gt;=0,G45&lt;=1,O45&lt;&gt;""),"Valid","Review baseline / ID / weight"))</x:f>
      </x:c>
    </x:row>
    <x:row r="46" ht="60" customHeight="1">
      <x:c r="A46" s="11"/>
      <x:c r="B46" s="11"/>
      <x:c r="C46" s="11"/>
      <x:c r="D46" s="11"/>
      <x:c r="E46" s="12"/>
      <x:c r="F46" s="13"/>
      <x:c r="G46" s="13"/>
      <x:c r="H46" s="21" t="str">
        <x:f>IF(A46="","",COUNTIFS(Daily!$C$7:$C$206,A46,Daily!$B$7:$B$206,B46,Daily!$I$7:$I$206,"Accepted",Daily!$P$7:$P$206,"Recorded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6" s="22" t="str">
        <x:f>IF(A46="","",IF(H46=0,"",SUMIFS(Daily!$H$7:$H$206,Daily!$C$7:$C$206,A46,Daily!$B$7:$B$206,B46,Daily!$I$7:$I$206,"Accepted",Daily!$P$7:$P$206,"Recorded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6" s="23" t="str">
        <x:f>IF(A46="","",IF(OR(NOT(ISNUMBER(E46)),E46&lt;=0,I46=""),"",I46/E46))</x:f>
      </x:c>
      <x:c r="K46" s="23" t="str">
        <x:f>IF(A46="","",IF(OR(J46="",NOT(ISNUMBER(F46))),"",J46*F46))</x:f>
      </x:c>
      <x:c r="L46" s="23" t="str">
        <x:f>IF(A46="","",IF(OR(NOT(ISNUMBER(F46)),NOT(ISNUMBER(G46))),"",F46*G46))</x:f>
      </x:c>
      <x:c r="M46" s="11"/>
      <x:c r="N46" s="14"/>
      <x:c r="O46" s="11"/>
      <x:c r="P46" s="21" t="str">
        <x:f>IF(A46="","",IF(AND(COUNTIFS($A$7:$A$206,A46,$B$7:$B$206,B46)=1,B46=Setup!$B$4,D46&lt;&gt;"",ISNUMBER(E46),E46&gt;0,ISNUMBER(F46),F46&gt;=0,F46&lt;=1,ISNUMBER(G46),G46&gt;=0,G46&lt;=1,O46&lt;&gt;""),"Valid","Review baseline / ID / weight"))</x:f>
      </x:c>
    </x:row>
    <x:row r="47" ht="60" customHeight="1">
      <x:c r="A47" s="11"/>
      <x:c r="B47" s="11"/>
      <x:c r="C47" s="11"/>
      <x:c r="D47" s="11"/>
      <x:c r="E47" s="12"/>
      <x:c r="F47" s="13"/>
      <x:c r="G47" s="13"/>
      <x:c r="H47" s="21" t="str">
        <x:f>IF(A47="","",COUNTIFS(Daily!$C$7:$C$206,A47,Daily!$B$7:$B$206,B47,Daily!$I$7:$I$206,"Accepted",Daily!$P$7:$P$206,"Recorded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7" s="22" t="str">
        <x:f>IF(A47="","",IF(H47=0,"",SUMIFS(Daily!$H$7:$H$206,Daily!$C$7:$C$206,A47,Daily!$B$7:$B$206,B47,Daily!$I$7:$I$206,"Accepted",Daily!$P$7:$P$206,"Recorded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7" s="23" t="str">
        <x:f>IF(A47="","",IF(OR(NOT(ISNUMBER(E47)),E47&lt;=0,I47=""),"",I47/E47))</x:f>
      </x:c>
      <x:c r="K47" s="23" t="str">
        <x:f>IF(A47="","",IF(OR(J47="",NOT(ISNUMBER(F47))),"",J47*F47))</x:f>
      </x:c>
      <x:c r="L47" s="23" t="str">
        <x:f>IF(A47="","",IF(OR(NOT(ISNUMBER(F47)),NOT(ISNUMBER(G47))),"",F47*G47))</x:f>
      </x:c>
      <x:c r="M47" s="11"/>
      <x:c r="N47" s="14"/>
      <x:c r="O47" s="11"/>
      <x:c r="P47" s="21" t="str">
        <x:f>IF(A47="","",IF(AND(COUNTIFS($A$7:$A$206,A47,$B$7:$B$206,B47)=1,B47=Setup!$B$4,D47&lt;&gt;"",ISNUMBER(E47),E47&gt;0,ISNUMBER(F47),F47&gt;=0,F47&lt;=1,ISNUMBER(G47),G47&gt;=0,G47&lt;=1,O47&lt;&gt;""),"Valid","Review baseline / ID / weight"))</x:f>
      </x:c>
    </x:row>
    <x:row r="48" ht="60" customHeight="1">
      <x:c r="A48" s="11"/>
      <x:c r="B48" s="11"/>
      <x:c r="C48" s="11"/>
      <x:c r="D48" s="11"/>
      <x:c r="E48" s="12"/>
      <x:c r="F48" s="13"/>
      <x:c r="G48" s="13"/>
      <x:c r="H48" s="21" t="str">
        <x:f>IF(A48="","",COUNTIFS(Daily!$C$7:$C$206,A48,Daily!$B$7:$B$206,B48,Daily!$I$7:$I$206,"Accepted",Daily!$P$7:$P$206,"Recorded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8" s="22" t="str">
        <x:f>IF(A48="","",IF(H48=0,"",SUMIFS(Daily!$H$7:$H$206,Daily!$C$7:$C$206,A48,Daily!$B$7:$B$206,B48,Daily!$I$7:$I$206,"Accepted",Daily!$P$7:$P$206,"Recorded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8" s="23" t="str">
        <x:f>IF(A48="","",IF(OR(NOT(ISNUMBER(E48)),E48&lt;=0,I48=""),"",I48/E48))</x:f>
      </x:c>
      <x:c r="K48" s="23" t="str">
        <x:f>IF(A48="","",IF(OR(J48="",NOT(ISNUMBER(F48))),"",J48*F48))</x:f>
      </x:c>
      <x:c r="L48" s="23" t="str">
        <x:f>IF(A48="","",IF(OR(NOT(ISNUMBER(F48)),NOT(ISNUMBER(G48))),"",F48*G48))</x:f>
      </x:c>
      <x:c r="M48" s="11"/>
      <x:c r="N48" s="14"/>
      <x:c r="O48" s="11"/>
      <x:c r="P48" s="21" t="str">
        <x:f>IF(A48="","",IF(AND(COUNTIFS($A$7:$A$206,A48,$B$7:$B$206,B48)=1,B48=Setup!$B$4,D48&lt;&gt;"",ISNUMBER(E48),E48&gt;0,ISNUMBER(F48),F48&gt;=0,F48&lt;=1,ISNUMBER(G48),G48&gt;=0,G48&lt;=1,O48&lt;&gt;""),"Valid","Review baseline / ID / weight"))</x:f>
      </x:c>
    </x:row>
    <x:row r="49" ht="60" customHeight="1">
      <x:c r="A49" s="11"/>
      <x:c r="B49" s="11"/>
      <x:c r="C49" s="11"/>
      <x:c r="D49" s="11"/>
      <x:c r="E49" s="12"/>
      <x:c r="F49" s="13"/>
      <x:c r="G49" s="13"/>
      <x:c r="H49" s="21" t="str">
        <x:f>IF(A49="","",COUNTIFS(Daily!$C$7:$C$206,A49,Daily!$B$7:$B$206,B49,Daily!$I$7:$I$206,"Accepted",Daily!$P$7:$P$206,"Recorded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9" s="22" t="str">
        <x:f>IF(A49="","",IF(H49=0,"",SUMIFS(Daily!$H$7:$H$206,Daily!$C$7:$C$206,A49,Daily!$B$7:$B$206,B49,Daily!$I$7:$I$206,"Accepted",Daily!$P$7:$P$206,"Recorded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9" s="23" t="str">
        <x:f>IF(A49="","",IF(OR(NOT(ISNUMBER(E49)),E49&lt;=0,I49=""),"",I49/E49))</x:f>
      </x:c>
      <x:c r="K49" s="23" t="str">
        <x:f>IF(A49="","",IF(OR(J49="",NOT(ISNUMBER(F49))),"",J49*F49))</x:f>
      </x:c>
      <x:c r="L49" s="23" t="str">
        <x:f>IF(A49="","",IF(OR(NOT(ISNUMBER(F49)),NOT(ISNUMBER(G49))),"",F49*G49))</x:f>
      </x:c>
      <x:c r="M49" s="11"/>
      <x:c r="N49" s="14"/>
      <x:c r="O49" s="11"/>
      <x:c r="P49" s="21" t="str">
        <x:f>IF(A49="","",IF(AND(COUNTIFS($A$7:$A$206,A49,$B$7:$B$206,B49)=1,B49=Setup!$B$4,D49&lt;&gt;"",ISNUMBER(E49),E49&gt;0,ISNUMBER(F49),F49&gt;=0,F49&lt;=1,ISNUMBER(G49),G49&gt;=0,G49&lt;=1,O49&lt;&gt;""),"Valid","Review baseline / ID / weight"))</x:f>
      </x:c>
    </x:row>
    <x:row r="50" ht="60" customHeight="1">
      <x:c r="A50" s="11"/>
      <x:c r="B50" s="11"/>
      <x:c r="C50" s="11"/>
      <x:c r="D50" s="11"/>
      <x:c r="E50" s="12"/>
      <x:c r="F50" s="13"/>
      <x:c r="G50" s="13"/>
      <x:c r="H50" s="21" t="str">
        <x:f>IF(A50="","",COUNTIFS(Daily!$C$7:$C$206,A50,Daily!$B$7:$B$206,B50,Daily!$I$7:$I$206,"Accepted",Daily!$P$7:$P$206,"Recorded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0" s="22" t="str">
        <x:f>IF(A50="","",IF(H50=0,"",SUMIFS(Daily!$H$7:$H$206,Daily!$C$7:$C$206,A50,Daily!$B$7:$B$206,B50,Daily!$I$7:$I$206,"Accepted",Daily!$P$7:$P$206,"Recorded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0" s="23" t="str">
        <x:f>IF(A50="","",IF(OR(NOT(ISNUMBER(E50)),E50&lt;=0,I50=""),"",I50/E50))</x:f>
      </x:c>
      <x:c r="K50" s="23" t="str">
        <x:f>IF(A50="","",IF(OR(J50="",NOT(ISNUMBER(F50))),"",J50*F50))</x:f>
      </x:c>
      <x:c r="L50" s="23" t="str">
        <x:f>IF(A50="","",IF(OR(NOT(ISNUMBER(F50)),NOT(ISNUMBER(G50))),"",F50*G50))</x:f>
      </x:c>
      <x:c r="M50" s="11"/>
      <x:c r="N50" s="14"/>
      <x:c r="O50" s="11"/>
      <x:c r="P50" s="21" t="str">
        <x:f>IF(A50="","",IF(AND(COUNTIFS($A$7:$A$206,A50,$B$7:$B$206,B50)=1,B50=Setup!$B$4,D50&lt;&gt;"",ISNUMBER(E50),E50&gt;0,ISNUMBER(F50),F50&gt;=0,F50&lt;=1,ISNUMBER(G50),G50&gt;=0,G50&lt;=1,O50&lt;&gt;""),"Valid","Review baseline / ID / weight"))</x:f>
      </x:c>
    </x:row>
    <x:row r="51" ht="60" customHeight="1">
      <x:c r="A51" s="11"/>
      <x:c r="B51" s="11"/>
      <x:c r="C51" s="11"/>
      <x:c r="D51" s="11"/>
      <x:c r="E51" s="12"/>
      <x:c r="F51" s="13"/>
      <x:c r="G51" s="13"/>
      <x:c r="H51" s="21" t="str">
        <x:f>IF(A51="","",COUNTIFS(Daily!$C$7:$C$206,A51,Daily!$B$7:$B$206,B51,Daily!$I$7:$I$206,"Accepted",Daily!$P$7:$P$206,"Recorded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1" s="22" t="str">
        <x:f>IF(A51="","",IF(H51=0,"",SUMIFS(Daily!$H$7:$H$206,Daily!$C$7:$C$206,A51,Daily!$B$7:$B$206,B51,Daily!$I$7:$I$206,"Accepted",Daily!$P$7:$P$206,"Recorded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1" s="23" t="str">
        <x:f>IF(A51="","",IF(OR(NOT(ISNUMBER(E51)),E51&lt;=0,I51=""),"",I51/E51))</x:f>
      </x:c>
      <x:c r="K51" s="23" t="str">
        <x:f>IF(A51="","",IF(OR(J51="",NOT(ISNUMBER(F51))),"",J51*F51))</x:f>
      </x:c>
      <x:c r="L51" s="23" t="str">
        <x:f>IF(A51="","",IF(OR(NOT(ISNUMBER(F51)),NOT(ISNUMBER(G51))),"",F51*G51))</x:f>
      </x:c>
      <x:c r="M51" s="11"/>
      <x:c r="N51" s="14"/>
      <x:c r="O51" s="11"/>
      <x:c r="P51" s="21" t="str">
        <x:f>IF(A51="","",IF(AND(COUNTIFS($A$7:$A$206,A51,$B$7:$B$206,B51)=1,B51=Setup!$B$4,D51&lt;&gt;"",ISNUMBER(E51),E51&gt;0,ISNUMBER(F51),F51&gt;=0,F51&lt;=1,ISNUMBER(G51),G51&gt;=0,G51&lt;=1,O51&lt;&gt;""),"Valid","Review baseline / ID / weight"))</x:f>
      </x:c>
    </x:row>
    <x:row r="52" ht="60" customHeight="1">
      <x:c r="A52" s="11"/>
      <x:c r="B52" s="11"/>
      <x:c r="C52" s="11"/>
      <x:c r="D52" s="11"/>
      <x:c r="E52" s="12"/>
      <x:c r="F52" s="13"/>
      <x:c r="G52" s="13"/>
      <x:c r="H52" s="21" t="str">
        <x:f>IF(A52="","",COUNTIFS(Daily!$C$7:$C$206,A52,Daily!$B$7:$B$206,B52,Daily!$I$7:$I$206,"Accepted",Daily!$P$7:$P$206,"Recorded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2" s="22" t="str">
        <x:f>IF(A52="","",IF(H52=0,"",SUMIFS(Daily!$H$7:$H$206,Daily!$C$7:$C$206,A52,Daily!$B$7:$B$206,B52,Daily!$I$7:$I$206,"Accepted",Daily!$P$7:$P$206,"Recorded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2" s="23" t="str">
        <x:f>IF(A52="","",IF(OR(NOT(ISNUMBER(E52)),E52&lt;=0,I52=""),"",I52/E52))</x:f>
      </x:c>
      <x:c r="K52" s="23" t="str">
        <x:f>IF(A52="","",IF(OR(J52="",NOT(ISNUMBER(F52))),"",J52*F52))</x:f>
      </x:c>
      <x:c r="L52" s="23" t="str">
        <x:f>IF(A52="","",IF(OR(NOT(ISNUMBER(F52)),NOT(ISNUMBER(G52))),"",F52*G52))</x:f>
      </x:c>
      <x:c r="M52" s="11"/>
      <x:c r="N52" s="14"/>
      <x:c r="O52" s="11"/>
      <x:c r="P52" s="21" t="str">
        <x:f>IF(A52="","",IF(AND(COUNTIFS($A$7:$A$206,A52,$B$7:$B$206,B52)=1,B52=Setup!$B$4,D52&lt;&gt;"",ISNUMBER(E52),E52&gt;0,ISNUMBER(F52),F52&gt;=0,F52&lt;=1,ISNUMBER(G52),G52&gt;=0,G52&lt;=1,O52&lt;&gt;""),"Valid","Review baseline / ID / weight"))</x:f>
      </x:c>
    </x:row>
    <x:row r="53" ht="60" customHeight="1">
      <x:c r="A53" s="11"/>
      <x:c r="B53" s="11"/>
      <x:c r="C53" s="11"/>
      <x:c r="D53" s="11"/>
      <x:c r="E53" s="12"/>
      <x:c r="F53" s="13"/>
      <x:c r="G53" s="13"/>
      <x:c r="H53" s="21" t="str">
        <x:f>IF(A53="","",COUNTIFS(Daily!$C$7:$C$206,A53,Daily!$B$7:$B$206,B53,Daily!$I$7:$I$206,"Accepted",Daily!$P$7:$P$206,"Recorded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3" s="22" t="str">
        <x:f>IF(A53="","",IF(H53=0,"",SUMIFS(Daily!$H$7:$H$206,Daily!$C$7:$C$206,A53,Daily!$B$7:$B$206,B53,Daily!$I$7:$I$206,"Accepted",Daily!$P$7:$P$206,"Recorded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3" s="23" t="str">
        <x:f>IF(A53="","",IF(OR(NOT(ISNUMBER(E53)),E53&lt;=0,I53=""),"",I53/E53))</x:f>
      </x:c>
      <x:c r="K53" s="23" t="str">
        <x:f>IF(A53="","",IF(OR(J53="",NOT(ISNUMBER(F53))),"",J53*F53))</x:f>
      </x:c>
      <x:c r="L53" s="23" t="str">
        <x:f>IF(A53="","",IF(OR(NOT(ISNUMBER(F53)),NOT(ISNUMBER(G53))),"",F53*G53))</x:f>
      </x:c>
      <x:c r="M53" s="11"/>
      <x:c r="N53" s="14"/>
      <x:c r="O53" s="11"/>
      <x:c r="P53" s="21" t="str">
        <x:f>IF(A53="","",IF(AND(COUNTIFS($A$7:$A$206,A53,$B$7:$B$206,B53)=1,B53=Setup!$B$4,D53&lt;&gt;"",ISNUMBER(E53),E53&gt;0,ISNUMBER(F53),F53&gt;=0,F53&lt;=1,ISNUMBER(G53),G53&gt;=0,G53&lt;=1,O53&lt;&gt;""),"Valid","Review baseline / ID / weight"))</x:f>
      </x:c>
    </x:row>
    <x:row r="54" ht="60" customHeight="1">
      <x:c r="A54" s="11"/>
      <x:c r="B54" s="11"/>
      <x:c r="C54" s="11"/>
      <x:c r="D54" s="11"/>
      <x:c r="E54" s="12"/>
      <x:c r="F54" s="13"/>
      <x:c r="G54" s="13"/>
      <x:c r="H54" s="21" t="str">
        <x:f>IF(A54="","",COUNTIFS(Daily!$C$7:$C$206,A54,Daily!$B$7:$B$206,B54,Daily!$I$7:$I$206,"Accepted",Daily!$P$7:$P$206,"Recorded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4" s="22" t="str">
        <x:f>IF(A54="","",IF(H54=0,"",SUMIFS(Daily!$H$7:$H$206,Daily!$C$7:$C$206,A54,Daily!$B$7:$B$206,B54,Daily!$I$7:$I$206,"Accepted",Daily!$P$7:$P$206,"Recorded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4" s="23" t="str">
        <x:f>IF(A54="","",IF(OR(NOT(ISNUMBER(E54)),E54&lt;=0,I54=""),"",I54/E54))</x:f>
      </x:c>
      <x:c r="K54" s="23" t="str">
        <x:f>IF(A54="","",IF(OR(J54="",NOT(ISNUMBER(F54))),"",J54*F54))</x:f>
      </x:c>
      <x:c r="L54" s="23" t="str">
        <x:f>IF(A54="","",IF(OR(NOT(ISNUMBER(F54)),NOT(ISNUMBER(G54))),"",F54*G54))</x:f>
      </x:c>
      <x:c r="M54" s="11"/>
      <x:c r="N54" s="14"/>
      <x:c r="O54" s="11"/>
      <x:c r="P54" s="21" t="str">
        <x:f>IF(A54="","",IF(AND(COUNTIFS($A$7:$A$206,A54,$B$7:$B$206,B54)=1,B54=Setup!$B$4,D54&lt;&gt;"",ISNUMBER(E54),E54&gt;0,ISNUMBER(F54),F54&gt;=0,F54&lt;=1,ISNUMBER(G54),G54&gt;=0,G54&lt;=1,O54&lt;&gt;""),"Valid","Review baseline / ID / weight"))</x:f>
      </x:c>
    </x:row>
    <x:row r="55" ht="60" customHeight="1">
      <x:c r="A55" s="11"/>
      <x:c r="B55" s="11"/>
      <x:c r="C55" s="11"/>
      <x:c r="D55" s="11"/>
      <x:c r="E55" s="12"/>
      <x:c r="F55" s="13"/>
      <x:c r="G55" s="13"/>
      <x:c r="H55" s="21" t="str">
        <x:f>IF(A55="","",COUNTIFS(Daily!$C$7:$C$206,A55,Daily!$B$7:$B$206,B55,Daily!$I$7:$I$206,"Accepted",Daily!$P$7:$P$206,"Recorded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5" s="22" t="str">
        <x:f>IF(A55="","",IF(H55=0,"",SUMIFS(Daily!$H$7:$H$206,Daily!$C$7:$C$206,A55,Daily!$B$7:$B$206,B55,Daily!$I$7:$I$206,"Accepted",Daily!$P$7:$P$206,"Recorded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5" s="23" t="str">
        <x:f>IF(A55="","",IF(OR(NOT(ISNUMBER(E55)),E55&lt;=0,I55=""),"",I55/E55))</x:f>
      </x:c>
      <x:c r="K55" s="23" t="str">
        <x:f>IF(A55="","",IF(OR(J55="",NOT(ISNUMBER(F55))),"",J55*F55))</x:f>
      </x:c>
      <x:c r="L55" s="23" t="str">
        <x:f>IF(A55="","",IF(OR(NOT(ISNUMBER(F55)),NOT(ISNUMBER(G55))),"",F55*G55))</x:f>
      </x:c>
      <x:c r="M55" s="11"/>
      <x:c r="N55" s="14"/>
      <x:c r="O55" s="11"/>
      <x:c r="P55" s="21" t="str">
        <x:f>IF(A55="","",IF(AND(COUNTIFS($A$7:$A$206,A55,$B$7:$B$206,B55)=1,B55=Setup!$B$4,D55&lt;&gt;"",ISNUMBER(E55),E55&gt;0,ISNUMBER(F55),F55&gt;=0,F55&lt;=1,ISNUMBER(G55),G55&gt;=0,G55&lt;=1,O55&lt;&gt;""),"Valid","Review baseline / ID / weight"))</x:f>
      </x:c>
    </x:row>
    <x:row r="56" ht="60" customHeight="1">
      <x:c r="A56" s="11"/>
      <x:c r="B56" s="11"/>
      <x:c r="C56" s="11"/>
      <x:c r="D56" s="11"/>
      <x:c r="E56" s="12"/>
      <x:c r="F56" s="13"/>
      <x:c r="G56" s="13"/>
      <x:c r="H56" s="21" t="str">
        <x:f>IF(A56="","",COUNTIFS(Daily!$C$7:$C$206,A56,Daily!$B$7:$B$206,B56,Daily!$I$7:$I$206,"Accepted",Daily!$P$7:$P$206,"Recorded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6" s="22" t="str">
        <x:f>IF(A56="","",IF(H56=0,"",SUMIFS(Daily!$H$7:$H$206,Daily!$C$7:$C$206,A56,Daily!$B$7:$B$206,B56,Daily!$I$7:$I$206,"Accepted",Daily!$P$7:$P$206,"Recorded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6" s="23" t="str">
        <x:f>IF(A56="","",IF(OR(NOT(ISNUMBER(E56)),E56&lt;=0,I56=""),"",I56/E56))</x:f>
      </x:c>
      <x:c r="K56" s="23" t="str">
        <x:f>IF(A56="","",IF(OR(J56="",NOT(ISNUMBER(F56))),"",J56*F56))</x:f>
      </x:c>
      <x:c r="L56" s="23" t="str">
        <x:f>IF(A56="","",IF(OR(NOT(ISNUMBER(F56)),NOT(ISNUMBER(G56))),"",F56*G56))</x:f>
      </x:c>
      <x:c r="M56" s="11"/>
      <x:c r="N56" s="14"/>
      <x:c r="O56" s="11"/>
      <x:c r="P56" s="21" t="str">
        <x:f>IF(A56="","",IF(AND(COUNTIFS($A$7:$A$206,A56,$B$7:$B$206,B56)=1,B56=Setup!$B$4,D56&lt;&gt;"",ISNUMBER(E56),E56&gt;0,ISNUMBER(F56),F56&gt;=0,F56&lt;=1,ISNUMBER(G56),G56&gt;=0,G56&lt;=1,O56&lt;&gt;""),"Valid","Review baseline / ID / weight"))</x:f>
      </x:c>
    </x:row>
    <x:row r="57" ht="60" customHeight="1">
      <x:c r="A57" s="11"/>
      <x:c r="B57" s="11"/>
      <x:c r="C57" s="11"/>
      <x:c r="D57" s="11"/>
      <x:c r="E57" s="12"/>
      <x:c r="F57" s="13"/>
      <x:c r="G57" s="13"/>
      <x:c r="H57" s="21" t="str">
        <x:f>IF(A57="","",COUNTIFS(Daily!$C$7:$C$206,A57,Daily!$B$7:$B$206,B57,Daily!$I$7:$I$206,"Accepted",Daily!$P$7:$P$206,"Recorded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7" s="22" t="str">
        <x:f>IF(A57="","",IF(H57=0,"",SUMIFS(Daily!$H$7:$H$206,Daily!$C$7:$C$206,A57,Daily!$B$7:$B$206,B57,Daily!$I$7:$I$206,"Accepted",Daily!$P$7:$P$206,"Recorded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7" s="23" t="str">
        <x:f>IF(A57="","",IF(OR(NOT(ISNUMBER(E57)),E57&lt;=0,I57=""),"",I57/E57))</x:f>
      </x:c>
      <x:c r="K57" s="23" t="str">
        <x:f>IF(A57="","",IF(OR(J57="",NOT(ISNUMBER(F57))),"",J57*F57))</x:f>
      </x:c>
      <x:c r="L57" s="23" t="str">
        <x:f>IF(A57="","",IF(OR(NOT(ISNUMBER(F57)),NOT(ISNUMBER(G57))),"",F57*G57))</x:f>
      </x:c>
      <x:c r="M57" s="11"/>
      <x:c r="N57" s="14"/>
      <x:c r="O57" s="11"/>
      <x:c r="P57" s="21" t="str">
        <x:f>IF(A57="","",IF(AND(COUNTIFS($A$7:$A$206,A57,$B$7:$B$206,B57)=1,B57=Setup!$B$4,D57&lt;&gt;"",ISNUMBER(E57),E57&gt;0,ISNUMBER(F57),F57&gt;=0,F57&lt;=1,ISNUMBER(G57),G57&gt;=0,G57&lt;=1,O57&lt;&gt;""),"Valid","Review baseline / ID / weight"))</x:f>
      </x:c>
    </x:row>
    <x:row r="58" ht="60" customHeight="1">
      <x:c r="A58" s="11"/>
      <x:c r="B58" s="11"/>
      <x:c r="C58" s="11"/>
      <x:c r="D58" s="11"/>
      <x:c r="E58" s="12"/>
      <x:c r="F58" s="13"/>
      <x:c r="G58" s="13"/>
      <x:c r="H58" s="21" t="str">
        <x:f>IF(A58="","",COUNTIFS(Daily!$C$7:$C$206,A58,Daily!$B$7:$B$206,B58,Daily!$I$7:$I$206,"Accepted",Daily!$P$7:$P$206,"Recorded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8" s="22" t="str">
        <x:f>IF(A58="","",IF(H58=0,"",SUMIFS(Daily!$H$7:$H$206,Daily!$C$7:$C$206,A58,Daily!$B$7:$B$206,B58,Daily!$I$7:$I$206,"Accepted",Daily!$P$7:$P$206,"Recorded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8" s="23" t="str">
        <x:f>IF(A58="","",IF(OR(NOT(ISNUMBER(E58)),E58&lt;=0,I58=""),"",I58/E58))</x:f>
      </x:c>
      <x:c r="K58" s="23" t="str">
        <x:f>IF(A58="","",IF(OR(J58="",NOT(ISNUMBER(F58))),"",J58*F58))</x:f>
      </x:c>
      <x:c r="L58" s="23" t="str">
        <x:f>IF(A58="","",IF(OR(NOT(ISNUMBER(F58)),NOT(ISNUMBER(G58))),"",F58*G58))</x:f>
      </x:c>
      <x:c r="M58" s="11"/>
      <x:c r="N58" s="14"/>
      <x:c r="O58" s="11"/>
      <x:c r="P58" s="21" t="str">
        <x:f>IF(A58="","",IF(AND(COUNTIFS($A$7:$A$206,A58,$B$7:$B$206,B58)=1,B58=Setup!$B$4,D58&lt;&gt;"",ISNUMBER(E58),E58&gt;0,ISNUMBER(F58),F58&gt;=0,F58&lt;=1,ISNUMBER(G58),G58&gt;=0,G58&lt;=1,O58&lt;&gt;""),"Valid","Review baseline / ID / weight"))</x:f>
      </x:c>
    </x:row>
    <x:row r="59" ht="60" customHeight="1">
      <x:c r="A59" s="11"/>
      <x:c r="B59" s="11"/>
      <x:c r="C59" s="11"/>
      <x:c r="D59" s="11"/>
      <x:c r="E59" s="12"/>
      <x:c r="F59" s="13"/>
      <x:c r="G59" s="13"/>
      <x:c r="H59" s="21" t="str">
        <x:f>IF(A59="","",COUNTIFS(Daily!$C$7:$C$206,A59,Daily!$B$7:$B$206,B59,Daily!$I$7:$I$206,"Accepted",Daily!$P$7:$P$206,"Recorded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9" s="22" t="str">
        <x:f>IF(A59="","",IF(H59=0,"",SUMIFS(Daily!$H$7:$H$206,Daily!$C$7:$C$206,A59,Daily!$B$7:$B$206,B59,Daily!$I$7:$I$206,"Accepted",Daily!$P$7:$P$206,"Recorded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9" s="23" t="str">
        <x:f>IF(A59="","",IF(OR(NOT(ISNUMBER(E59)),E59&lt;=0,I59=""),"",I59/E59))</x:f>
      </x:c>
      <x:c r="K59" s="23" t="str">
        <x:f>IF(A59="","",IF(OR(J59="",NOT(ISNUMBER(F59))),"",J59*F59))</x:f>
      </x:c>
      <x:c r="L59" s="23" t="str">
        <x:f>IF(A59="","",IF(OR(NOT(ISNUMBER(F59)),NOT(ISNUMBER(G59))),"",F59*G59))</x:f>
      </x:c>
      <x:c r="M59" s="11"/>
      <x:c r="N59" s="14"/>
      <x:c r="O59" s="11"/>
      <x:c r="P59" s="21" t="str">
        <x:f>IF(A59="","",IF(AND(COUNTIFS($A$7:$A$206,A59,$B$7:$B$206,B59)=1,B59=Setup!$B$4,D59&lt;&gt;"",ISNUMBER(E59),E59&gt;0,ISNUMBER(F59),F59&gt;=0,F59&lt;=1,ISNUMBER(G59),G59&gt;=0,G59&lt;=1,O59&lt;&gt;""),"Valid","Review baseline / ID / weight"))</x:f>
      </x:c>
    </x:row>
    <x:row r="60" ht="60" customHeight="1">
      <x:c r="A60" s="11"/>
      <x:c r="B60" s="11"/>
      <x:c r="C60" s="11"/>
      <x:c r="D60" s="11"/>
      <x:c r="E60" s="12"/>
      <x:c r="F60" s="13"/>
      <x:c r="G60" s="13"/>
      <x:c r="H60" s="21" t="str">
        <x:f>IF(A60="","",COUNTIFS(Daily!$C$7:$C$206,A60,Daily!$B$7:$B$206,B60,Daily!$I$7:$I$206,"Accepted",Daily!$P$7:$P$206,"Recorded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0" s="22" t="str">
        <x:f>IF(A60="","",IF(H60=0,"",SUMIFS(Daily!$H$7:$H$206,Daily!$C$7:$C$206,A60,Daily!$B$7:$B$206,B60,Daily!$I$7:$I$206,"Accepted",Daily!$P$7:$P$206,"Recorded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0" s="23" t="str">
        <x:f>IF(A60="","",IF(OR(NOT(ISNUMBER(E60)),E60&lt;=0,I60=""),"",I60/E60))</x:f>
      </x:c>
      <x:c r="K60" s="23" t="str">
        <x:f>IF(A60="","",IF(OR(J60="",NOT(ISNUMBER(F60))),"",J60*F60))</x:f>
      </x:c>
      <x:c r="L60" s="23" t="str">
        <x:f>IF(A60="","",IF(OR(NOT(ISNUMBER(F60)),NOT(ISNUMBER(G60))),"",F60*G60))</x:f>
      </x:c>
      <x:c r="M60" s="11"/>
      <x:c r="N60" s="14"/>
      <x:c r="O60" s="11"/>
      <x:c r="P60" s="21" t="str">
        <x:f>IF(A60="","",IF(AND(COUNTIFS($A$7:$A$206,A60,$B$7:$B$206,B60)=1,B60=Setup!$B$4,D60&lt;&gt;"",ISNUMBER(E60),E60&gt;0,ISNUMBER(F60),F60&gt;=0,F60&lt;=1,ISNUMBER(G60),G60&gt;=0,G60&lt;=1,O60&lt;&gt;""),"Valid","Review baseline / ID / weight"))</x:f>
      </x:c>
    </x:row>
    <x:row r="61" ht="60" customHeight="1">
      <x:c r="A61" s="11"/>
      <x:c r="B61" s="11"/>
      <x:c r="C61" s="11"/>
      <x:c r="D61" s="11"/>
      <x:c r="E61" s="12"/>
      <x:c r="F61" s="13"/>
      <x:c r="G61" s="13"/>
      <x:c r="H61" s="21" t="str">
        <x:f>IF(A61="","",COUNTIFS(Daily!$C$7:$C$206,A61,Daily!$B$7:$B$206,B61,Daily!$I$7:$I$206,"Accepted",Daily!$P$7:$P$206,"Recorded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1" s="22" t="str">
        <x:f>IF(A61="","",IF(H61=0,"",SUMIFS(Daily!$H$7:$H$206,Daily!$C$7:$C$206,A61,Daily!$B$7:$B$206,B61,Daily!$I$7:$I$206,"Accepted",Daily!$P$7:$P$206,"Recorded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1" s="23" t="str">
        <x:f>IF(A61="","",IF(OR(NOT(ISNUMBER(E61)),E61&lt;=0,I61=""),"",I61/E61))</x:f>
      </x:c>
      <x:c r="K61" s="23" t="str">
        <x:f>IF(A61="","",IF(OR(J61="",NOT(ISNUMBER(F61))),"",J61*F61))</x:f>
      </x:c>
      <x:c r="L61" s="23" t="str">
        <x:f>IF(A61="","",IF(OR(NOT(ISNUMBER(F61)),NOT(ISNUMBER(G61))),"",F61*G61))</x:f>
      </x:c>
      <x:c r="M61" s="11"/>
      <x:c r="N61" s="14"/>
      <x:c r="O61" s="11"/>
      <x:c r="P61" s="21" t="str">
        <x:f>IF(A61="","",IF(AND(COUNTIFS($A$7:$A$206,A61,$B$7:$B$206,B61)=1,B61=Setup!$B$4,D61&lt;&gt;"",ISNUMBER(E61),E61&gt;0,ISNUMBER(F61),F61&gt;=0,F61&lt;=1,ISNUMBER(G61),G61&gt;=0,G61&lt;=1,O61&lt;&gt;""),"Valid","Review baseline / ID / weight"))</x:f>
      </x:c>
    </x:row>
    <x:row r="62" ht="60" customHeight="1">
      <x:c r="A62" s="11"/>
      <x:c r="B62" s="11"/>
      <x:c r="C62" s="11"/>
      <x:c r="D62" s="11"/>
      <x:c r="E62" s="12"/>
      <x:c r="F62" s="13"/>
      <x:c r="G62" s="13"/>
      <x:c r="H62" s="21" t="str">
        <x:f>IF(A62="","",COUNTIFS(Daily!$C$7:$C$206,A62,Daily!$B$7:$B$206,B62,Daily!$I$7:$I$206,"Accepted",Daily!$P$7:$P$206,"Recorded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2" s="22" t="str">
        <x:f>IF(A62="","",IF(H62=0,"",SUMIFS(Daily!$H$7:$H$206,Daily!$C$7:$C$206,A62,Daily!$B$7:$B$206,B62,Daily!$I$7:$I$206,"Accepted",Daily!$P$7:$P$206,"Recorded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2" s="23" t="str">
        <x:f>IF(A62="","",IF(OR(NOT(ISNUMBER(E62)),E62&lt;=0,I62=""),"",I62/E62))</x:f>
      </x:c>
      <x:c r="K62" s="23" t="str">
        <x:f>IF(A62="","",IF(OR(J62="",NOT(ISNUMBER(F62))),"",J62*F62))</x:f>
      </x:c>
      <x:c r="L62" s="23" t="str">
        <x:f>IF(A62="","",IF(OR(NOT(ISNUMBER(F62)),NOT(ISNUMBER(G62))),"",F62*G62))</x:f>
      </x:c>
      <x:c r="M62" s="11"/>
      <x:c r="N62" s="14"/>
      <x:c r="O62" s="11"/>
      <x:c r="P62" s="21" t="str">
        <x:f>IF(A62="","",IF(AND(COUNTIFS($A$7:$A$206,A62,$B$7:$B$206,B62)=1,B62=Setup!$B$4,D62&lt;&gt;"",ISNUMBER(E62),E62&gt;0,ISNUMBER(F62),F62&gt;=0,F62&lt;=1,ISNUMBER(G62),G62&gt;=0,G62&lt;=1,O62&lt;&gt;""),"Valid","Review baseline / ID / weight"))</x:f>
      </x:c>
    </x:row>
    <x:row r="63" ht="60" customHeight="1">
      <x:c r="A63" s="11"/>
      <x:c r="B63" s="11"/>
      <x:c r="C63" s="11"/>
      <x:c r="D63" s="11"/>
      <x:c r="E63" s="12"/>
      <x:c r="F63" s="13"/>
      <x:c r="G63" s="13"/>
      <x:c r="H63" s="21" t="str">
        <x:f>IF(A63="","",COUNTIFS(Daily!$C$7:$C$206,A63,Daily!$B$7:$B$206,B63,Daily!$I$7:$I$206,"Accepted",Daily!$P$7:$P$206,"Recorded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3" s="22" t="str">
        <x:f>IF(A63="","",IF(H63=0,"",SUMIFS(Daily!$H$7:$H$206,Daily!$C$7:$C$206,A63,Daily!$B$7:$B$206,B63,Daily!$I$7:$I$206,"Accepted",Daily!$P$7:$P$206,"Recorded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3" s="23" t="str">
        <x:f>IF(A63="","",IF(OR(NOT(ISNUMBER(E63)),E63&lt;=0,I63=""),"",I63/E63))</x:f>
      </x:c>
      <x:c r="K63" s="23" t="str">
        <x:f>IF(A63="","",IF(OR(J63="",NOT(ISNUMBER(F63))),"",J63*F63))</x:f>
      </x:c>
      <x:c r="L63" s="23" t="str">
        <x:f>IF(A63="","",IF(OR(NOT(ISNUMBER(F63)),NOT(ISNUMBER(G63))),"",F63*G63))</x:f>
      </x:c>
      <x:c r="M63" s="11"/>
      <x:c r="N63" s="14"/>
      <x:c r="O63" s="11"/>
      <x:c r="P63" s="21" t="str">
        <x:f>IF(A63="","",IF(AND(COUNTIFS($A$7:$A$206,A63,$B$7:$B$206,B63)=1,B63=Setup!$B$4,D63&lt;&gt;"",ISNUMBER(E63),E63&gt;0,ISNUMBER(F63),F63&gt;=0,F63&lt;=1,ISNUMBER(G63),G63&gt;=0,G63&lt;=1,O63&lt;&gt;""),"Valid","Review baseline / ID / weight"))</x:f>
      </x:c>
    </x:row>
    <x:row r="64" ht="60" customHeight="1">
      <x:c r="A64" s="11"/>
      <x:c r="B64" s="11"/>
      <x:c r="C64" s="11"/>
      <x:c r="D64" s="11"/>
      <x:c r="E64" s="12"/>
      <x:c r="F64" s="13"/>
      <x:c r="G64" s="13"/>
      <x:c r="H64" s="21" t="str">
        <x:f>IF(A64="","",COUNTIFS(Daily!$C$7:$C$206,A64,Daily!$B$7:$B$206,B64,Daily!$I$7:$I$206,"Accepted",Daily!$P$7:$P$206,"Recorded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4" s="22" t="str">
        <x:f>IF(A64="","",IF(H64=0,"",SUMIFS(Daily!$H$7:$H$206,Daily!$C$7:$C$206,A64,Daily!$B$7:$B$206,B64,Daily!$I$7:$I$206,"Accepted",Daily!$P$7:$P$206,"Recorded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4" s="23" t="str">
        <x:f>IF(A64="","",IF(OR(NOT(ISNUMBER(E64)),E64&lt;=0,I64=""),"",I64/E64))</x:f>
      </x:c>
      <x:c r="K64" s="23" t="str">
        <x:f>IF(A64="","",IF(OR(J64="",NOT(ISNUMBER(F64))),"",J64*F64))</x:f>
      </x:c>
      <x:c r="L64" s="23" t="str">
        <x:f>IF(A64="","",IF(OR(NOT(ISNUMBER(F64)),NOT(ISNUMBER(G64))),"",F64*G64))</x:f>
      </x:c>
      <x:c r="M64" s="11"/>
      <x:c r="N64" s="14"/>
      <x:c r="O64" s="11"/>
      <x:c r="P64" s="21" t="str">
        <x:f>IF(A64="","",IF(AND(COUNTIFS($A$7:$A$206,A64,$B$7:$B$206,B64)=1,B64=Setup!$B$4,D64&lt;&gt;"",ISNUMBER(E64),E64&gt;0,ISNUMBER(F64),F64&gt;=0,F64&lt;=1,ISNUMBER(G64),G64&gt;=0,G64&lt;=1,O64&lt;&gt;""),"Valid","Review baseline / ID / weight"))</x:f>
      </x:c>
    </x:row>
    <x:row r="65" ht="60" customHeight="1">
      <x:c r="A65" s="11"/>
      <x:c r="B65" s="11"/>
      <x:c r="C65" s="11"/>
      <x:c r="D65" s="11"/>
      <x:c r="E65" s="12"/>
      <x:c r="F65" s="13"/>
      <x:c r="G65" s="13"/>
      <x:c r="H65" s="21" t="str">
        <x:f>IF(A65="","",COUNTIFS(Daily!$C$7:$C$206,A65,Daily!$B$7:$B$206,B65,Daily!$I$7:$I$206,"Accepted",Daily!$P$7:$P$206,"Recorded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5" s="22" t="str">
        <x:f>IF(A65="","",IF(H65=0,"",SUMIFS(Daily!$H$7:$H$206,Daily!$C$7:$C$206,A65,Daily!$B$7:$B$206,B65,Daily!$I$7:$I$206,"Accepted",Daily!$P$7:$P$206,"Recorded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5" s="23" t="str">
        <x:f>IF(A65="","",IF(OR(NOT(ISNUMBER(E65)),E65&lt;=0,I65=""),"",I65/E65))</x:f>
      </x:c>
      <x:c r="K65" s="23" t="str">
        <x:f>IF(A65="","",IF(OR(J65="",NOT(ISNUMBER(F65))),"",J65*F65))</x:f>
      </x:c>
      <x:c r="L65" s="23" t="str">
        <x:f>IF(A65="","",IF(OR(NOT(ISNUMBER(F65)),NOT(ISNUMBER(G65))),"",F65*G65))</x:f>
      </x:c>
      <x:c r="M65" s="11"/>
      <x:c r="N65" s="14"/>
      <x:c r="O65" s="11"/>
      <x:c r="P65" s="21" t="str">
        <x:f>IF(A65="","",IF(AND(COUNTIFS($A$7:$A$206,A65,$B$7:$B$206,B65)=1,B65=Setup!$B$4,D65&lt;&gt;"",ISNUMBER(E65),E65&gt;0,ISNUMBER(F65),F65&gt;=0,F65&lt;=1,ISNUMBER(G65),G65&gt;=0,G65&lt;=1,O65&lt;&gt;""),"Valid","Review baseline / ID / weight"))</x:f>
      </x:c>
    </x:row>
    <x:row r="66" ht="60" customHeight="1">
      <x:c r="A66" s="11"/>
      <x:c r="B66" s="11"/>
      <x:c r="C66" s="11"/>
      <x:c r="D66" s="11"/>
      <x:c r="E66" s="12"/>
      <x:c r="F66" s="13"/>
      <x:c r="G66" s="13"/>
      <x:c r="H66" s="21" t="str">
        <x:f>IF(A66="","",COUNTIFS(Daily!$C$7:$C$206,A66,Daily!$B$7:$B$206,B66,Daily!$I$7:$I$206,"Accepted",Daily!$P$7:$P$206,"Recorded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6" s="22" t="str">
        <x:f>IF(A66="","",IF(H66=0,"",SUMIFS(Daily!$H$7:$H$206,Daily!$C$7:$C$206,A66,Daily!$B$7:$B$206,B66,Daily!$I$7:$I$206,"Accepted",Daily!$P$7:$P$206,"Recorded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6" s="23" t="str">
        <x:f>IF(A66="","",IF(OR(NOT(ISNUMBER(E66)),E66&lt;=0,I66=""),"",I66/E66))</x:f>
      </x:c>
      <x:c r="K66" s="23" t="str">
        <x:f>IF(A66="","",IF(OR(J66="",NOT(ISNUMBER(F66))),"",J66*F66))</x:f>
      </x:c>
      <x:c r="L66" s="23" t="str">
        <x:f>IF(A66="","",IF(OR(NOT(ISNUMBER(F66)),NOT(ISNUMBER(G66))),"",F66*G66))</x:f>
      </x:c>
      <x:c r="M66" s="11"/>
      <x:c r="N66" s="14"/>
      <x:c r="O66" s="11"/>
      <x:c r="P66" s="21" t="str">
        <x:f>IF(A66="","",IF(AND(COUNTIFS($A$7:$A$206,A66,$B$7:$B$206,B66)=1,B66=Setup!$B$4,D66&lt;&gt;"",ISNUMBER(E66),E66&gt;0,ISNUMBER(F66),F66&gt;=0,F66&lt;=1,ISNUMBER(G66),G66&gt;=0,G66&lt;=1,O66&lt;&gt;""),"Valid","Review baseline / ID / weight"))</x:f>
      </x:c>
    </x:row>
    <x:row r="67" ht="60" customHeight="1">
      <x:c r="A67" s="11"/>
      <x:c r="B67" s="11"/>
      <x:c r="C67" s="11"/>
      <x:c r="D67" s="11"/>
      <x:c r="E67" s="12"/>
      <x:c r="F67" s="13"/>
      <x:c r="G67" s="13"/>
      <x:c r="H67" s="21" t="str">
        <x:f>IF(A67="","",COUNTIFS(Daily!$C$7:$C$206,A67,Daily!$B$7:$B$206,B67,Daily!$I$7:$I$206,"Accepted",Daily!$P$7:$P$206,"Recorded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7" s="22" t="str">
        <x:f>IF(A67="","",IF(H67=0,"",SUMIFS(Daily!$H$7:$H$206,Daily!$C$7:$C$206,A67,Daily!$B$7:$B$206,B67,Daily!$I$7:$I$206,"Accepted",Daily!$P$7:$P$206,"Recorded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7" s="23" t="str">
        <x:f>IF(A67="","",IF(OR(NOT(ISNUMBER(E67)),E67&lt;=0,I67=""),"",I67/E67))</x:f>
      </x:c>
      <x:c r="K67" s="23" t="str">
        <x:f>IF(A67="","",IF(OR(J67="",NOT(ISNUMBER(F67))),"",J67*F67))</x:f>
      </x:c>
      <x:c r="L67" s="23" t="str">
        <x:f>IF(A67="","",IF(OR(NOT(ISNUMBER(F67)),NOT(ISNUMBER(G67))),"",F67*G67))</x:f>
      </x:c>
      <x:c r="M67" s="11"/>
      <x:c r="N67" s="14"/>
      <x:c r="O67" s="11"/>
      <x:c r="P67" s="21" t="str">
        <x:f>IF(A67="","",IF(AND(COUNTIFS($A$7:$A$206,A67,$B$7:$B$206,B67)=1,B67=Setup!$B$4,D67&lt;&gt;"",ISNUMBER(E67),E67&gt;0,ISNUMBER(F67),F67&gt;=0,F67&lt;=1,ISNUMBER(G67),G67&gt;=0,G67&lt;=1,O67&lt;&gt;""),"Valid","Review baseline / ID / weight"))</x:f>
      </x:c>
    </x:row>
    <x:row r="68" ht="60" customHeight="1">
      <x:c r="A68" s="11"/>
      <x:c r="B68" s="11"/>
      <x:c r="C68" s="11"/>
      <x:c r="D68" s="11"/>
      <x:c r="E68" s="12"/>
      <x:c r="F68" s="13"/>
      <x:c r="G68" s="13"/>
      <x:c r="H68" s="21" t="str">
        <x:f>IF(A68="","",COUNTIFS(Daily!$C$7:$C$206,A68,Daily!$B$7:$B$206,B68,Daily!$I$7:$I$206,"Accepted",Daily!$P$7:$P$206,"Recorded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8" s="22" t="str">
        <x:f>IF(A68="","",IF(H68=0,"",SUMIFS(Daily!$H$7:$H$206,Daily!$C$7:$C$206,A68,Daily!$B$7:$B$206,B68,Daily!$I$7:$I$206,"Accepted",Daily!$P$7:$P$206,"Recorded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8" s="23" t="str">
        <x:f>IF(A68="","",IF(OR(NOT(ISNUMBER(E68)),E68&lt;=0,I68=""),"",I68/E68))</x:f>
      </x:c>
      <x:c r="K68" s="23" t="str">
        <x:f>IF(A68="","",IF(OR(J68="",NOT(ISNUMBER(F68))),"",J68*F68))</x:f>
      </x:c>
      <x:c r="L68" s="23" t="str">
        <x:f>IF(A68="","",IF(OR(NOT(ISNUMBER(F68)),NOT(ISNUMBER(G68))),"",F68*G68))</x:f>
      </x:c>
      <x:c r="M68" s="11"/>
      <x:c r="N68" s="14"/>
      <x:c r="O68" s="11"/>
      <x:c r="P68" s="21" t="str">
        <x:f>IF(A68="","",IF(AND(COUNTIFS($A$7:$A$206,A68,$B$7:$B$206,B68)=1,B68=Setup!$B$4,D68&lt;&gt;"",ISNUMBER(E68),E68&gt;0,ISNUMBER(F68),F68&gt;=0,F68&lt;=1,ISNUMBER(G68),G68&gt;=0,G68&lt;=1,O68&lt;&gt;""),"Valid","Review baseline / ID / weight"))</x:f>
      </x:c>
    </x:row>
    <x:row r="69" ht="60" customHeight="1">
      <x:c r="A69" s="11"/>
      <x:c r="B69" s="11"/>
      <x:c r="C69" s="11"/>
      <x:c r="D69" s="11"/>
      <x:c r="E69" s="12"/>
      <x:c r="F69" s="13"/>
      <x:c r="G69" s="13"/>
      <x:c r="H69" s="21" t="str">
        <x:f>IF(A69="","",COUNTIFS(Daily!$C$7:$C$206,A69,Daily!$B$7:$B$206,B69,Daily!$I$7:$I$206,"Accepted",Daily!$P$7:$P$206,"Recorded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9" s="22" t="str">
        <x:f>IF(A69="","",IF(H69=0,"",SUMIFS(Daily!$H$7:$H$206,Daily!$C$7:$C$206,A69,Daily!$B$7:$B$206,B69,Daily!$I$7:$I$206,"Accepted",Daily!$P$7:$P$206,"Recorded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9" s="23" t="str">
        <x:f>IF(A69="","",IF(OR(NOT(ISNUMBER(E69)),E69&lt;=0,I69=""),"",I69/E69))</x:f>
      </x:c>
      <x:c r="K69" s="23" t="str">
        <x:f>IF(A69="","",IF(OR(J69="",NOT(ISNUMBER(F69))),"",J69*F69))</x:f>
      </x:c>
      <x:c r="L69" s="23" t="str">
        <x:f>IF(A69="","",IF(OR(NOT(ISNUMBER(F69)),NOT(ISNUMBER(G69))),"",F69*G69))</x:f>
      </x:c>
      <x:c r="M69" s="11"/>
      <x:c r="N69" s="14"/>
      <x:c r="O69" s="11"/>
      <x:c r="P69" s="21" t="str">
        <x:f>IF(A69="","",IF(AND(COUNTIFS($A$7:$A$206,A69,$B$7:$B$206,B69)=1,B69=Setup!$B$4,D69&lt;&gt;"",ISNUMBER(E69),E69&gt;0,ISNUMBER(F69),F69&gt;=0,F69&lt;=1,ISNUMBER(G69),G69&gt;=0,G69&lt;=1,O69&lt;&gt;""),"Valid","Review baseline / ID / weight"))</x:f>
      </x:c>
    </x:row>
    <x:row r="70" ht="60" customHeight="1">
      <x:c r="A70" s="11"/>
      <x:c r="B70" s="11"/>
      <x:c r="C70" s="11"/>
      <x:c r="D70" s="11"/>
      <x:c r="E70" s="12"/>
      <x:c r="F70" s="13"/>
      <x:c r="G70" s="13"/>
      <x:c r="H70" s="21" t="str">
        <x:f>IF(A70="","",COUNTIFS(Daily!$C$7:$C$206,A70,Daily!$B$7:$B$206,B70,Daily!$I$7:$I$206,"Accepted",Daily!$P$7:$P$206,"Recorded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0" s="22" t="str">
        <x:f>IF(A70="","",IF(H70=0,"",SUMIFS(Daily!$H$7:$H$206,Daily!$C$7:$C$206,A70,Daily!$B$7:$B$206,B70,Daily!$I$7:$I$206,"Accepted",Daily!$P$7:$P$206,"Recorded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0" s="23" t="str">
        <x:f>IF(A70="","",IF(OR(NOT(ISNUMBER(E70)),E70&lt;=0,I70=""),"",I70/E70))</x:f>
      </x:c>
      <x:c r="K70" s="23" t="str">
        <x:f>IF(A70="","",IF(OR(J70="",NOT(ISNUMBER(F70))),"",J70*F70))</x:f>
      </x:c>
      <x:c r="L70" s="23" t="str">
        <x:f>IF(A70="","",IF(OR(NOT(ISNUMBER(F70)),NOT(ISNUMBER(G70))),"",F70*G70))</x:f>
      </x:c>
      <x:c r="M70" s="11"/>
      <x:c r="N70" s="14"/>
      <x:c r="O70" s="11"/>
      <x:c r="P70" s="21" t="str">
        <x:f>IF(A70="","",IF(AND(COUNTIFS($A$7:$A$206,A70,$B$7:$B$206,B70)=1,B70=Setup!$B$4,D70&lt;&gt;"",ISNUMBER(E70),E70&gt;0,ISNUMBER(F70),F70&gt;=0,F70&lt;=1,ISNUMBER(G70),G70&gt;=0,G70&lt;=1,O70&lt;&gt;""),"Valid","Review baseline / ID / weight"))</x:f>
      </x:c>
    </x:row>
    <x:row r="71" ht="60" customHeight="1">
      <x:c r="A71" s="11"/>
      <x:c r="B71" s="11"/>
      <x:c r="C71" s="11"/>
      <x:c r="D71" s="11"/>
      <x:c r="E71" s="12"/>
      <x:c r="F71" s="13"/>
      <x:c r="G71" s="13"/>
      <x:c r="H71" s="21" t="str">
        <x:f>IF(A71="","",COUNTIFS(Daily!$C$7:$C$206,A71,Daily!$B$7:$B$206,B71,Daily!$I$7:$I$206,"Accepted",Daily!$P$7:$P$206,"Recorded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1" s="22" t="str">
        <x:f>IF(A71="","",IF(H71=0,"",SUMIFS(Daily!$H$7:$H$206,Daily!$C$7:$C$206,A71,Daily!$B$7:$B$206,B71,Daily!$I$7:$I$206,"Accepted",Daily!$P$7:$P$206,"Recorded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1" s="23" t="str">
        <x:f>IF(A71="","",IF(OR(NOT(ISNUMBER(E71)),E71&lt;=0,I71=""),"",I71/E71))</x:f>
      </x:c>
      <x:c r="K71" s="23" t="str">
        <x:f>IF(A71="","",IF(OR(J71="",NOT(ISNUMBER(F71))),"",J71*F71))</x:f>
      </x:c>
      <x:c r="L71" s="23" t="str">
        <x:f>IF(A71="","",IF(OR(NOT(ISNUMBER(F71)),NOT(ISNUMBER(G71))),"",F71*G71))</x:f>
      </x:c>
      <x:c r="M71" s="11"/>
      <x:c r="N71" s="14"/>
      <x:c r="O71" s="11"/>
      <x:c r="P71" s="21" t="str">
        <x:f>IF(A71="","",IF(AND(COUNTIFS($A$7:$A$206,A71,$B$7:$B$206,B71)=1,B71=Setup!$B$4,D71&lt;&gt;"",ISNUMBER(E71),E71&gt;0,ISNUMBER(F71),F71&gt;=0,F71&lt;=1,ISNUMBER(G71),G71&gt;=0,G71&lt;=1,O71&lt;&gt;""),"Valid","Review baseline / ID / weight"))</x:f>
      </x:c>
    </x:row>
    <x:row r="72" ht="60" customHeight="1">
      <x:c r="A72" s="11"/>
      <x:c r="B72" s="11"/>
      <x:c r="C72" s="11"/>
      <x:c r="D72" s="11"/>
      <x:c r="E72" s="12"/>
      <x:c r="F72" s="13"/>
      <x:c r="G72" s="13"/>
      <x:c r="H72" s="21" t="str">
        <x:f>IF(A72="","",COUNTIFS(Daily!$C$7:$C$206,A72,Daily!$B$7:$B$206,B72,Daily!$I$7:$I$206,"Accepted",Daily!$P$7:$P$206,"Recorded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2" s="22" t="str">
        <x:f>IF(A72="","",IF(H72=0,"",SUMIFS(Daily!$H$7:$H$206,Daily!$C$7:$C$206,A72,Daily!$B$7:$B$206,B72,Daily!$I$7:$I$206,"Accepted",Daily!$P$7:$P$206,"Recorded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2" s="23" t="str">
        <x:f>IF(A72="","",IF(OR(NOT(ISNUMBER(E72)),E72&lt;=0,I72=""),"",I72/E72))</x:f>
      </x:c>
      <x:c r="K72" s="23" t="str">
        <x:f>IF(A72="","",IF(OR(J72="",NOT(ISNUMBER(F72))),"",J72*F72))</x:f>
      </x:c>
      <x:c r="L72" s="23" t="str">
        <x:f>IF(A72="","",IF(OR(NOT(ISNUMBER(F72)),NOT(ISNUMBER(G72))),"",F72*G72))</x:f>
      </x:c>
      <x:c r="M72" s="11"/>
      <x:c r="N72" s="14"/>
      <x:c r="O72" s="11"/>
      <x:c r="P72" s="21" t="str">
        <x:f>IF(A72="","",IF(AND(COUNTIFS($A$7:$A$206,A72,$B$7:$B$206,B72)=1,B72=Setup!$B$4,D72&lt;&gt;"",ISNUMBER(E72),E72&gt;0,ISNUMBER(F72),F72&gt;=0,F72&lt;=1,ISNUMBER(G72),G72&gt;=0,G72&lt;=1,O72&lt;&gt;""),"Valid","Review baseline / ID / weight"))</x:f>
      </x:c>
    </x:row>
    <x:row r="73" ht="60" customHeight="1">
      <x:c r="A73" s="11"/>
      <x:c r="B73" s="11"/>
      <x:c r="C73" s="11"/>
      <x:c r="D73" s="11"/>
      <x:c r="E73" s="12"/>
      <x:c r="F73" s="13"/>
      <x:c r="G73" s="13"/>
      <x:c r="H73" s="21" t="str">
        <x:f>IF(A73="","",COUNTIFS(Daily!$C$7:$C$206,A73,Daily!$B$7:$B$206,B73,Daily!$I$7:$I$206,"Accepted",Daily!$P$7:$P$206,"Recorded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3" s="22" t="str">
        <x:f>IF(A73="","",IF(H73=0,"",SUMIFS(Daily!$H$7:$H$206,Daily!$C$7:$C$206,A73,Daily!$B$7:$B$206,B73,Daily!$I$7:$I$206,"Accepted",Daily!$P$7:$P$206,"Recorded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3" s="23" t="str">
        <x:f>IF(A73="","",IF(OR(NOT(ISNUMBER(E73)),E73&lt;=0,I73=""),"",I73/E73))</x:f>
      </x:c>
      <x:c r="K73" s="23" t="str">
        <x:f>IF(A73="","",IF(OR(J73="",NOT(ISNUMBER(F73))),"",J73*F73))</x:f>
      </x:c>
      <x:c r="L73" s="23" t="str">
        <x:f>IF(A73="","",IF(OR(NOT(ISNUMBER(F73)),NOT(ISNUMBER(G73))),"",F73*G73))</x:f>
      </x:c>
      <x:c r="M73" s="11"/>
      <x:c r="N73" s="14"/>
      <x:c r="O73" s="11"/>
      <x:c r="P73" s="21" t="str">
        <x:f>IF(A73="","",IF(AND(COUNTIFS($A$7:$A$206,A73,$B$7:$B$206,B73)=1,B73=Setup!$B$4,D73&lt;&gt;"",ISNUMBER(E73),E73&gt;0,ISNUMBER(F73),F73&gt;=0,F73&lt;=1,ISNUMBER(G73),G73&gt;=0,G73&lt;=1,O73&lt;&gt;""),"Valid","Review baseline / ID / weight"))</x:f>
      </x:c>
    </x:row>
    <x:row r="74" ht="60" customHeight="1">
      <x:c r="A74" s="11"/>
      <x:c r="B74" s="11"/>
      <x:c r="C74" s="11"/>
      <x:c r="D74" s="11"/>
      <x:c r="E74" s="12"/>
      <x:c r="F74" s="13"/>
      <x:c r="G74" s="13"/>
      <x:c r="H74" s="21" t="str">
        <x:f>IF(A74="","",COUNTIFS(Daily!$C$7:$C$206,A74,Daily!$B$7:$B$206,B74,Daily!$I$7:$I$206,"Accepted",Daily!$P$7:$P$206,"Recorded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4" s="22" t="str">
        <x:f>IF(A74="","",IF(H74=0,"",SUMIFS(Daily!$H$7:$H$206,Daily!$C$7:$C$206,A74,Daily!$B$7:$B$206,B74,Daily!$I$7:$I$206,"Accepted",Daily!$P$7:$P$206,"Recorded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4" s="23" t="str">
        <x:f>IF(A74="","",IF(OR(NOT(ISNUMBER(E74)),E74&lt;=0,I74=""),"",I74/E74))</x:f>
      </x:c>
      <x:c r="K74" s="23" t="str">
        <x:f>IF(A74="","",IF(OR(J74="",NOT(ISNUMBER(F74))),"",J74*F74))</x:f>
      </x:c>
      <x:c r="L74" s="23" t="str">
        <x:f>IF(A74="","",IF(OR(NOT(ISNUMBER(F74)),NOT(ISNUMBER(G74))),"",F74*G74))</x:f>
      </x:c>
      <x:c r="M74" s="11"/>
      <x:c r="N74" s="14"/>
      <x:c r="O74" s="11"/>
      <x:c r="P74" s="21" t="str">
        <x:f>IF(A74="","",IF(AND(COUNTIFS($A$7:$A$206,A74,$B$7:$B$206,B74)=1,B74=Setup!$B$4,D74&lt;&gt;"",ISNUMBER(E74),E74&gt;0,ISNUMBER(F74),F74&gt;=0,F74&lt;=1,ISNUMBER(G74),G74&gt;=0,G74&lt;=1,O74&lt;&gt;""),"Valid","Review baseline / ID / weight"))</x:f>
      </x:c>
    </x:row>
    <x:row r="75" ht="60" customHeight="1">
      <x:c r="A75" s="11"/>
      <x:c r="B75" s="11"/>
      <x:c r="C75" s="11"/>
      <x:c r="D75" s="11"/>
      <x:c r="E75" s="12"/>
      <x:c r="F75" s="13"/>
      <x:c r="G75" s="13"/>
      <x:c r="H75" s="21" t="str">
        <x:f>IF(A75="","",COUNTIFS(Daily!$C$7:$C$206,A75,Daily!$B$7:$B$206,B75,Daily!$I$7:$I$206,"Accepted",Daily!$P$7:$P$206,"Recorded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5" s="22" t="str">
        <x:f>IF(A75="","",IF(H75=0,"",SUMIFS(Daily!$H$7:$H$206,Daily!$C$7:$C$206,A75,Daily!$B$7:$B$206,B75,Daily!$I$7:$I$206,"Accepted",Daily!$P$7:$P$206,"Recorded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5" s="23" t="str">
        <x:f>IF(A75="","",IF(OR(NOT(ISNUMBER(E75)),E75&lt;=0,I75=""),"",I75/E75))</x:f>
      </x:c>
      <x:c r="K75" s="23" t="str">
        <x:f>IF(A75="","",IF(OR(J75="",NOT(ISNUMBER(F75))),"",J75*F75))</x:f>
      </x:c>
      <x:c r="L75" s="23" t="str">
        <x:f>IF(A75="","",IF(OR(NOT(ISNUMBER(F75)),NOT(ISNUMBER(G75))),"",F75*G75))</x:f>
      </x:c>
      <x:c r="M75" s="11"/>
      <x:c r="N75" s="14"/>
      <x:c r="O75" s="11"/>
      <x:c r="P75" s="21" t="str">
        <x:f>IF(A75="","",IF(AND(COUNTIFS($A$7:$A$206,A75,$B$7:$B$206,B75)=1,B75=Setup!$B$4,D75&lt;&gt;"",ISNUMBER(E75),E75&gt;0,ISNUMBER(F75),F75&gt;=0,F75&lt;=1,ISNUMBER(G75),G75&gt;=0,G75&lt;=1,O75&lt;&gt;""),"Valid","Review baseline / ID / weight"))</x:f>
      </x:c>
    </x:row>
    <x:row r="76" ht="60" customHeight="1">
      <x:c r="A76" s="11"/>
      <x:c r="B76" s="11"/>
      <x:c r="C76" s="11"/>
      <x:c r="D76" s="11"/>
      <x:c r="E76" s="12"/>
      <x:c r="F76" s="13"/>
      <x:c r="G76" s="13"/>
      <x:c r="H76" s="21" t="str">
        <x:f>IF(A76="","",COUNTIFS(Daily!$C$7:$C$206,A76,Daily!$B$7:$B$206,B76,Daily!$I$7:$I$206,"Accepted",Daily!$P$7:$P$206,"Recorded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6" s="22" t="str">
        <x:f>IF(A76="","",IF(H76=0,"",SUMIFS(Daily!$H$7:$H$206,Daily!$C$7:$C$206,A76,Daily!$B$7:$B$206,B76,Daily!$I$7:$I$206,"Accepted",Daily!$P$7:$P$206,"Recorded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6" s="23" t="str">
        <x:f>IF(A76="","",IF(OR(NOT(ISNUMBER(E76)),E76&lt;=0,I76=""),"",I76/E76))</x:f>
      </x:c>
      <x:c r="K76" s="23" t="str">
        <x:f>IF(A76="","",IF(OR(J76="",NOT(ISNUMBER(F76))),"",J76*F76))</x:f>
      </x:c>
      <x:c r="L76" s="23" t="str">
        <x:f>IF(A76="","",IF(OR(NOT(ISNUMBER(F76)),NOT(ISNUMBER(G76))),"",F76*G76))</x:f>
      </x:c>
      <x:c r="M76" s="11"/>
      <x:c r="N76" s="14"/>
      <x:c r="O76" s="11"/>
      <x:c r="P76" s="21" t="str">
        <x:f>IF(A76="","",IF(AND(COUNTIFS($A$7:$A$206,A76,$B$7:$B$206,B76)=1,B76=Setup!$B$4,D76&lt;&gt;"",ISNUMBER(E76),E76&gt;0,ISNUMBER(F76),F76&gt;=0,F76&lt;=1,ISNUMBER(G76),G76&gt;=0,G76&lt;=1,O76&lt;&gt;""),"Valid","Review baseline / ID / weight"))</x:f>
      </x:c>
    </x:row>
    <x:row r="77" ht="60" customHeight="1">
      <x:c r="A77" s="11"/>
      <x:c r="B77" s="11"/>
      <x:c r="C77" s="11"/>
      <x:c r="D77" s="11"/>
      <x:c r="E77" s="12"/>
      <x:c r="F77" s="13"/>
      <x:c r="G77" s="13"/>
      <x:c r="H77" s="21" t="str">
        <x:f>IF(A77="","",COUNTIFS(Daily!$C$7:$C$206,A77,Daily!$B$7:$B$206,B77,Daily!$I$7:$I$206,"Accepted",Daily!$P$7:$P$206,"Recorded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7" s="22" t="str">
        <x:f>IF(A77="","",IF(H77=0,"",SUMIFS(Daily!$H$7:$H$206,Daily!$C$7:$C$206,A77,Daily!$B$7:$B$206,B77,Daily!$I$7:$I$206,"Accepted",Daily!$P$7:$P$206,"Recorded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7" s="23" t="str">
        <x:f>IF(A77="","",IF(OR(NOT(ISNUMBER(E77)),E77&lt;=0,I77=""),"",I77/E77))</x:f>
      </x:c>
      <x:c r="K77" s="23" t="str">
        <x:f>IF(A77="","",IF(OR(J77="",NOT(ISNUMBER(F77))),"",J77*F77))</x:f>
      </x:c>
      <x:c r="L77" s="23" t="str">
        <x:f>IF(A77="","",IF(OR(NOT(ISNUMBER(F77)),NOT(ISNUMBER(G77))),"",F77*G77))</x:f>
      </x:c>
      <x:c r="M77" s="11"/>
      <x:c r="N77" s="14"/>
      <x:c r="O77" s="11"/>
      <x:c r="P77" s="21" t="str">
        <x:f>IF(A77="","",IF(AND(COUNTIFS($A$7:$A$206,A77,$B$7:$B$206,B77)=1,B77=Setup!$B$4,D77&lt;&gt;"",ISNUMBER(E77),E77&gt;0,ISNUMBER(F77),F77&gt;=0,F77&lt;=1,ISNUMBER(G77),G77&gt;=0,G77&lt;=1,O77&lt;&gt;""),"Valid","Review baseline / ID / weight"))</x:f>
      </x:c>
    </x:row>
    <x:row r="78" ht="60" customHeight="1">
      <x:c r="A78" s="11"/>
      <x:c r="B78" s="11"/>
      <x:c r="C78" s="11"/>
      <x:c r="D78" s="11"/>
      <x:c r="E78" s="12"/>
      <x:c r="F78" s="13"/>
      <x:c r="G78" s="13"/>
      <x:c r="H78" s="21" t="str">
        <x:f>IF(A78="","",COUNTIFS(Daily!$C$7:$C$206,A78,Daily!$B$7:$B$206,B78,Daily!$I$7:$I$206,"Accepted",Daily!$P$7:$P$206,"Recorded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8" s="22" t="str">
        <x:f>IF(A78="","",IF(H78=0,"",SUMIFS(Daily!$H$7:$H$206,Daily!$C$7:$C$206,A78,Daily!$B$7:$B$206,B78,Daily!$I$7:$I$206,"Accepted",Daily!$P$7:$P$206,"Recorded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8" s="23" t="str">
        <x:f>IF(A78="","",IF(OR(NOT(ISNUMBER(E78)),E78&lt;=0,I78=""),"",I78/E78))</x:f>
      </x:c>
      <x:c r="K78" s="23" t="str">
        <x:f>IF(A78="","",IF(OR(J78="",NOT(ISNUMBER(F78))),"",J78*F78))</x:f>
      </x:c>
      <x:c r="L78" s="23" t="str">
        <x:f>IF(A78="","",IF(OR(NOT(ISNUMBER(F78)),NOT(ISNUMBER(G78))),"",F78*G78))</x:f>
      </x:c>
      <x:c r="M78" s="11"/>
      <x:c r="N78" s="14"/>
      <x:c r="O78" s="11"/>
      <x:c r="P78" s="21" t="str">
        <x:f>IF(A78="","",IF(AND(COUNTIFS($A$7:$A$206,A78,$B$7:$B$206,B78)=1,B78=Setup!$B$4,D78&lt;&gt;"",ISNUMBER(E78),E78&gt;0,ISNUMBER(F78),F78&gt;=0,F78&lt;=1,ISNUMBER(G78),G78&gt;=0,G78&lt;=1,O78&lt;&gt;""),"Valid","Review baseline / ID / weight"))</x:f>
      </x:c>
    </x:row>
    <x:row r="79" ht="60" customHeight="1">
      <x:c r="A79" s="11"/>
      <x:c r="B79" s="11"/>
      <x:c r="C79" s="11"/>
      <x:c r="D79" s="11"/>
      <x:c r="E79" s="12"/>
      <x:c r="F79" s="13"/>
      <x:c r="G79" s="13"/>
      <x:c r="H79" s="21" t="str">
        <x:f>IF(A79="","",COUNTIFS(Daily!$C$7:$C$206,A79,Daily!$B$7:$B$206,B79,Daily!$I$7:$I$206,"Accepted",Daily!$P$7:$P$206,"Recorded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9" s="22" t="str">
        <x:f>IF(A79="","",IF(H79=0,"",SUMIFS(Daily!$H$7:$H$206,Daily!$C$7:$C$206,A79,Daily!$B$7:$B$206,B79,Daily!$I$7:$I$206,"Accepted",Daily!$P$7:$P$206,"Recorded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9" s="23" t="str">
        <x:f>IF(A79="","",IF(OR(NOT(ISNUMBER(E79)),E79&lt;=0,I79=""),"",I79/E79))</x:f>
      </x:c>
      <x:c r="K79" s="23" t="str">
        <x:f>IF(A79="","",IF(OR(J79="",NOT(ISNUMBER(F79))),"",J79*F79))</x:f>
      </x:c>
      <x:c r="L79" s="23" t="str">
        <x:f>IF(A79="","",IF(OR(NOT(ISNUMBER(F79)),NOT(ISNUMBER(G79))),"",F79*G79))</x:f>
      </x:c>
      <x:c r="M79" s="11"/>
      <x:c r="N79" s="14"/>
      <x:c r="O79" s="11"/>
      <x:c r="P79" s="21" t="str">
        <x:f>IF(A79="","",IF(AND(COUNTIFS($A$7:$A$206,A79,$B$7:$B$206,B79)=1,B79=Setup!$B$4,D79&lt;&gt;"",ISNUMBER(E79),E79&gt;0,ISNUMBER(F79),F79&gt;=0,F79&lt;=1,ISNUMBER(G79),G79&gt;=0,G79&lt;=1,O79&lt;&gt;""),"Valid","Review baseline / ID / weight"))</x:f>
      </x:c>
    </x:row>
    <x:row r="80" ht="60" customHeight="1">
      <x:c r="A80" s="11"/>
      <x:c r="B80" s="11"/>
      <x:c r="C80" s="11"/>
      <x:c r="D80" s="11"/>
      <x:c r="E80" s="12"/>
      <x:c r="F80" s="13"/>
      <x:c r="G80" s="13"/>
      <x:c r="H80" s="21" t="str">
        <x:f>IF(A80="","",COUNTIFS(Daily!$C$7:$C$206,A80,Daily!$B$7:$B$206,B80,Daily!$I$7:$I$206,"Accepted",Daily!$P$7:$P$206,"Recorded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0" s="22" t="str">
        <x:f>IF(A80="","",IF(H80=0,"",SUMIFS(Daily!$H$7:$H$206,Daily!$C$7:$C$206,A80,Daily!$B$7:$B$206,B80,Daily!$I$7:$I$206,"Accepted",Daily!$P$7:$P$206,"Recorded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0" s="23" t="str">
        <x:f>IF(A80="","",IF(OR(NOT(ISNUMBER(E80)),E80&lt;=0,I80=""),"",I80/E80))</x:f>
      </x:c>
      <x:c r="K80" s="23" t="str">
        <x:f>IF(A80="","",IF(OR(J80="",NOT(ISNUMBER(F80))),"",J80*F80))</x:f>
      </x:c>
      <x:c r="L80" s="23" t="str">
        <x:f>IF(A80="","",IF(OR(NOT(ISNUMBER(F80)),NOT(ISNUMBER(G80))),"",F80*G80))</x:f>
      </x:c>
      <x:c r="M80" s="11"/>
      <x:c r="N80" s="14"/>
      <x:c r="O80" s="11"/>
      <x:c r="P80" s="21" t="str">
        <x:f>IF(A80="","",IF(AND(COUNTIFS($A$7:$A$206,A80,$B$7:$B$206,B80)=1,B80=Setup!$B$4,D80&lt;&gt;"",ISNUMBER(E80),E80&gt;0,ISNUMBER(F80),F80&gt;=0,F80&lt;=1,ISNUMBER(G80),G80&gt;=0,G80&lt;=1,O80&lt;&gt;""),"Valid","Review baseline / ID / weight"))</x:f>
      </x:c>
    </x:row>
    <x:row r="81" ht="60" customHeight="1">
      <x:c r="A81" s="11"/>
      <x:c r="B81" s="11"/>
      <x:c r="C81" s="11"/>
      <x:c r="D81" s="11"/>
      <x:c r="E81" s="12"/>
      <x:c r="F81" s="13"/>
      <x:c r="G81" s="13"/>
      <x:c r="H81" s="21" t="str">
        <x:f>IF(A81="","",COUNTIFS(Daily!$C$7:$C$206,A81,Daily!$B$7:$B$206,B81,Daily!$I$7:$I$206,"Accepted",Daily!$P$7:$P$206,"Recorded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1" s="22" t="str">
        <x:f>IF(A81="","",IF(H81=0,"",SUMIFS(Daily!$H$7:$H$206,Daily!$C$7:$C$206,A81,Daily!$B$7:$B$206,B81,Daily!$I$7:$I$206,"Accepted",Daily!$P$7:$P$206,"Recorded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1" s="23" t="str">
        <x:f>IF(A81="","",IF(OR(NOT(ISNUMBER(E81)),E81&lt;=0,I81=""),"",I81/E81))</x:f>
      </x:c>
      <x:c r="K81" s="23" t="str">
        <x:f>IF(A81="","",IF(OR(J81="",NOT(ISNUMBER(F81))),"",J81*F81))</x:f>
      </x:c>
      <x:c r="L81" s="23" t="str">
        <x:f>IF(A81="","",IF(OR(NOT(ISNUMBER(F81)),NOT(ISNUMBER(G81))),"",F81*G81))</x:f>
      </x:c>
      <x:c r="M81" s="11"/>
      <x:c r="N81" s="14"/>
      <x:c r="O81" s="11"/>
      <x:c r="P81" s="21" t="str">
        <x:f>IF(A81="","",IF(AND(COUNTIFS($A$7:$A$206,A81,$B$7:$B$206,B81)=1,B81=Setup!$B$4,D81&lt;&gt;"",ISNUMBER(E81),E81&gt;0,ISNUMBER(F81),F81&gt;=0,F81&lt;=1,ISNUMBER(G81),G81&gt;=0,G81&lt;=1,O81&lt;&gt;""),"Valid","Review baseline / ID / weight"))</x:f>
      </x:c>
    </x:row>
    <x:row r="82" ht="60" customHeight="1">
      <x:c r="A82" s="11"/>
      <x:c r="B82" s="11"/>
      <x:c r="C82" s="11"/>
      <x:c r="D82" s="11"/>
      <x:c r="E82" s="12"/>
      <x:c r="F82" s="13"/>
      <x:c r="G82" s="13"/>
      <x:c r="H82" s="21" t="str">
        <x:f>IF(A82="","",COUNTIFS(Daily!$C$7:$C$206,A82,Daily!$B$7:$B$206,B82,Daily!$I$7:$I$206,"Accepted",Daily!$P$7:$P$206,"Recorded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2" s="22" t="str">
        <x:f>IF(A82="","",IF(H82=0,"",SUMIFS(Daily!$H$7:$H$206,Daily!$C$7:$C$206,A82,Daily!$B$7:$B$206,B82,Daily!$I$7:$I$206,"Accepted",Daily!$P$7:$P$206,"Recorded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2" s="23" t="str">
        <x:f>IF(A82="","",IF(OR(NOT(ISNUMBER(E82)),E82&lt;=0,I82=""),"",I82/E82))</x:f>
      </x:c>
      <x:c r="K82" s="23" t="str">
        <x:f>IF(A82="","",IF(OR(J82="",NOT(ISNUMBER(F82))),"",J82*F82))</x:f>
      </x:c>
      <x:c r="L82" s="23" t="str">
        <x:f>IF(A82="","",IF(OR(NOT(ISNUMBER(F82)),NOT(ISNUMBER(G82))),"",F82*G82))</x:f>
      </x:c>
      <x:c r="M82" s="11"/>
      <x:c r="N82" s="14"/>
      <x:c r="O82" s="11"/>
      <x:c r="P82" s="21" t="str">
        <x:f>IF(A82="","",IF(AND(COUNTIFS($A$7:$A$206,A82,$B$7:$B$206,B82)=1,B82=Setup!$B$4,D82&lt;&gt;"",ISNUMBER(E82),E82&gt;0,ISNUMBER(F82),F82&gt;=0,F82&lt;=1,ISNUMBER(G82),G82&gt;=0,G82&lt;=1,O82&lt;&gt;""),"Valid","Review baseline / ID / weight"))</x:f>
      </x:c>
    </x:row>
    <x:row r="83" ht="60" customHeight="1">
      <x:c r="A83" s="11"/>
      <x:c r="B83" s="11"/>
      <x:c r="C83" s="11"/>
      <x:c r="D83" s="11"/>
      <x:c r="E83" s="12"/>
      <x:c r="F83" s="13"/>
      <x:c r="G83" s="13"/>
      <x:c r="H83" s="21" t="str">
        <x:f>IF(A83="","",COUNTIFS(Daily!$C$7:$C$206,A83,Daily!$B$7:$B$206,B83,Daily!$I$7:$I$206,"Accepted",Daily!$P$7:$P$206,"Recorded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3" s="22" t="str">
        <x:f>IF(A83="","",IF(H83=0,"",SUMIFS(Daily!$H$7:$H$206,Daily!$C$7:$C$206,A83,Daily!$B$7:$B$206,B83,Daily!$I$7:$I$206,"Accepted",Daily!$P$7:$P$206,"Recorded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3" s="23" t="str">
        <x:f>IF(A83="","",IF(OR(NOT(ISNUMBER(E83)),E83&lt;=0,I83=""),"",I83/E83))</x:f>
      </x:c>
      <x:c r="K83" s="23" t="str">
        <x:f>IF(A83="","",IF(OR(J83="",NOT(ISNUMBER(F83))),"",J83*F83))</x:f>
      </x:c>
      <x:c r="L83" s="23" t="str">
        <x:f>IF(A83="","",IF(OR(NOT(ISNUMBER(F83)),NOT(ISNUMBER(G83))),"",F83*G83))</x:f>
      </x:c>
      <x:c r="M83" s="11"/>
      <x:c r="N83" s="14"/>
      <x:c r="O83" s="11"/>
      <x:c r="P83" s="21" t="str">
        <x:f>IF(A83="","",IF(AND(COUNTIFS($A$7:$A$206,A83,$B$7:$B$206,B83)=1,B83=Setup!$B$4,D83&lt;&gt;"",ISNUMBER(E83),E83&gt;0,ISNUMBER(F83),F83&gt;=0,F83&lt;=1,ISNUMBER(G83),G83&gt;=0,G83&lt;=1,O83&lt;&gt;""),"Valid","Review baseline / ID / weight"))</x:f>
      </x:c>
    </x:row>
    <x:row r="84" ht="60" customHeight="1">
      <x:c r="A84" s="11"/>
      <x:c r="B84" s="11"/>
      <x:c r="C84" s="11"/>
      <x:c r="D84" s="11"/>
      <x:c r="E84" s="12"/>
      <x:c r="F84" s="13"/>
      <x:c r="G84" s="13"/>
      <x:c r="H84" s="21" t="str">
        <x:f>IF(A84="","",COUNTIFS(Daily!$C$7:$C$206,A84,Daily!$B$7:$B$206,B84,Daily!$I$7:$I$206,"Accepted",Daily!$P$7:$P$206,"Recorded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4" s="22" t="str">
        <x:f>IF(A84="","",IF(H84=0,"",SUMIFS(Daily!$H$7:$H$206,Daily!$C$7:$C$206,A84,Daily!$B$7:$B$206,B84,Daily!$I$7:$I$206,"Accepted",Daily!$P$7:$P$206,"Recorded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4" s="23" t="str">
        <x:f>IF(A84="","",IF(OR(NOT(ISNUMBER(E84)),E84&lt;=0,I84=""),"",I84/E84))</x:f>
      </x:c>
      <x:c r="K84" s="23" t="str">
        <x:f>IF(A84="","",IF(OR(J84="",NOT(ISNUMBER(F84))),"",J84*F84))</x:f>
      </x:c>
      <x:c r="L84" s="23" t="str">
        <x:f>IF(A84="","",IF(OR(NOT(ISNUMBER(F84)),NOT(ISNUMBER(G84))),"",F84*G84))</x:f>
      </x:c>
      <x:c r="M84" s="11"/>
      <x:c r="N84" s="14"/>
      <x:c r="O84" s="11"/>
      <x:c r="P84" s="21" t="str">
        <x:f>IF(A84="","",IF(AND(COUNTIFS($A$7:$A$206,A84,$B$7:$B$206,B84)=1,B84=Setup!$B$4,D84&lt;&gt;"",ISNUMBER(E84),E84&gt;0,ISNUMBER(F84),F84&gt;=0,F84&lt;=1,ISNUMBER(G84),G84&gt;=0,G84&lt;=1,O84&lt;&gt;""),"Valid","Review baseline / ID / weight"))</x:f>
      </x:c>
    </x:row>
    <x:row r="85" ht="60" customHeight="1">
      <x:c r="A85" s="11"/>
      <x:c r="B85" s="11"/>
      <x:c r="C85" s="11"/>
      <x:c r="D85" s="11"/>
      <x:c r="E85" s="12"/>
      <x:c r="F85" s="13"/>
      <x:c r="G85" s="13"/>
      <x:c r="H85" s="21" t="str">
        <x:f>IF(A85="","",COUNTIFS(Daily!$C$7:$C$206,A85,Daily!$B$7:$B$206,B85,Daily!$I$7:$I$206,"Accepted",Daily!$P$7:$P$206,"Recorded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5" s="22" t="str">
        <x:f>IF(A85="","",IF(H85=0,"",SUMIFS(Daily!$H$7:$H$206,Daily!$C$7:$C$206,A85,Daily!$B$7:$B$206,B85,Daily!$I$7:$I$206,"Accepted",Daily!$P$7:$P$206,"Recorded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5" s="23" t="str">
        <x:f>IF(A85="","",IF(OR(NOT(ISNUMBER(E85)),E85&lt;=0,I85=""),"",I85/E85))</x:f>
      </x:c>
      <x:c r="K85" s="23" t="str">
        <x:f>IF(A85="","",IF(OR(J85="",NOT(ISNUMBER(F85))),"",J85*F85))</x:f>
      </x:c>
      <x:c r="L85" s="23" t="str">
        <x:f>IF(A85="","",IF(OR(NOT(ISNUMBER(F85)),NOT(ISNUMBER(G85))),"",F85*G85))</x:f>
      </x:c>
      <x:c r="M85" s="11"/>
      <x:c r="N85" s="14"/>
      <x:c r="O85" s="11"/>
      <x:c r="P85" s="21" t="str">
        <x:f>IF(A85="","",IF(AND(COUNTIFS($A$7:$A$206,A85,$B$7:$B$206,B85)=1,B85=Setup!$B$4,D85&lt;&gt;"",ISNUMBER(E85),E85&gt;0,ISNUMBER(F85),F85&gt;=0,F85&lt;=1,ISNUMBER(G85),G85&gt;=0,G85&lt;=1,O85&lt;&gt;""),"Valid","Review baseline / ID / weight"))</x:f>
      </x:c>
    </x:row>
    <x:row r="86" ht="60" customHeight="1">
      <x:c r="A86" s="11"/>
      <x:c r="B86" s="11"/>
      <x:c r="C86" s="11"/>
      <x:c r="D86" s="11"/>
      <x:c r="E86" s="12"/>
      <x:c r="F86" s="13"/>
      <x:c r="G86" s="13"/>
      <x:c r="H86" s="21" t="str">
        <x:f>IF(A86="","",COUNTIFS(Daily!$C$7:$C$206,A86,Daily!$B$7:$B$206,B86,Daily!$I$7:$I$206,"Accepted",Daily!$P$7:$P$206,"Recorded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6" s="22" t="str">
        <x:f>IF(A86="","",IF(H86=0,"",SUMIFS(Daily!$H$7:$H$206,Daily!$C$7:$C$206,A86,Daily!$B$7:$B$206,B86,Daily!$I$7:$I$206,"Accepted",Daily!$P$7:$P$206,"Recorded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6" s="23" t="str">
        <x:f>IF(A86="","",IF(OR(NOT(ISNUMBER(E86)),E86&lt;=0,I86=""),"",I86/E86))</x:f>
      </x:c>
      <x:c r="K86" s="23" t="str">
        <x:f>IF(A86="","",IF(OR(J86="",NOT(ISNUMBER(F86))),"",J86*F86))</x:f>
      </x:c>
      <x:c r="L86" s="23" t="str">
        <x:f>IF(A86="","",IF(OR(NOT(ISNUMBER(F86)),NOT(ISNUMBER(G86))),"",F86*G86))</x:f>
      </x:c>
      <x:c r="M86" s="11"/>
      <x:c r="N86" s="14"/>
      <x:c r="O86" s="11"/>
      <x:c r="P86" s="21" t="str">
        <x:f>IF(A86="","",IF(AND(COUNTIFS($A$7:$A$206,A86,$B$7:$B$206,B86)=1,B86=Setup!$B$4,D86&lt;&gt;"",ISNUMBER(E86),E86&gt;0,ISNUMBER(F86),F86&gt;=0,F86&lt;=1,ISNUMBER(G86),G86&gt;=0,G86&lt;=1,O86&lt;&gt;""),"Valid","Review baseline / ID / weight"))</x:f>
      </x:c>
    </x:row>
    <x:row r="87" ht="60" customHeight="1">
      <x:c r="A87" s="11"/>
      <x:c r="B87" s="11"/>
      <x:c r="C87" s="11"/>
      <x:c r="D87" s="11"/>
      <x:c r="E87" s="12"/>
      <x:c r="F87" s="13"/>
      <x:c r="G87" s="13"/>
      <x:c r="H87" s="21" t="str">
        <x:f>IF(A87="","",COUNTIFS(Daily!$C$7:$C$206,A87,Daily!$B$7:$B$206,B87,Daily!$I$7:$I$206,"Accepted",Daily!$P$7:$P$206,"Recorded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7" s="22" t="str">
        <x:f>IF(A87="","",IF(H87=0,"",SUMIFS(Daily!$H$7:$H$206,Daily!$C$7:$C$206,A87,Daily!$B$7:$B$206,B87,Daily!$I$7:$I$206,"Accepted",Daily!$P$7:$P$206,"Recorded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7" s="23" t="str">
        <x:f>IF(A87="","",IF(OR(NOT(ISNUMBER(E87)),E87&lt;=0,I87=""),"",I87/E87))</x:f>
      </x:c>
      <x:c r="K87" s="23" t="str">
        <x:f>IF(A87="","",IF(OR(J87="",NOT(ISNUMBER(F87))),"",J87*F87))</x:f>
      </x:c>
      <x:c r="L87" s="23" t="str">
        <x:f>IF(A87="","",IF(OR(NOT(ISNUMBER(F87)),NOT(ISNUMBER(G87))),"",F87*G87))</x:f>
      </x:c>
      <x:c r="M87" s="11"/>
      <x:c r="N87" s="14"/>
      <x:c r="O87" s="11"/>
      <x:c r="P87" s="21" t="str">
        <x:f>IF(A87="","",IF(AND(COUNTIFS($A$7:$A$206,A87,$B$7:$B$206,B87)=1,B87=Setup!$B$4,D87&lt;&gt;"",ISNUMBER(E87),E87&gt;0,ISNUMBER(F87),F87&gt;=0,F87&lt;=1,ISNUMBER(G87),G87&gt;=0,G87&lt;=1,O87&lt;&gt;""),"Valid","Review baseline / ID / weight"))</x:f>
      </x:c>
    </x:row>
    <x:row r="88" ht="60" customHeight="1">
      <x:c r="A88" s="11"/>
      <x:c r="B88" s="11"/>
      <x:c r="C88" s="11"/>
      <x:c r="D88" s="11"/>
      <x:c r="E88" s="12"/>
      <x:c r="F88" s="13"/>
      <x:c r="G88" s="13"/>
      <x:c r="H88" s="21" t="str">
        <x:f>IF(A88="","",COUNTIFS(Daily!$C$7:$C$206,A88,Daily!$B$7:$B$206,B88,Daily!$I$7:$I$206,"Accepted",Daily!$P$7:$P$206,"Recorded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8" s="22" t="str">
        <x:f>IF(A88="","",IF(H88=0,"",SUMIFS(Daily!$H$7:$H$206,Daily!$C$7:$C$206,A88,Daily!$B$7:$B$206,B88,Daily!$I$7:$I$206,"Accepted",Daily!$P$7:$P$206,"Recorded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8" s="23" t="str">
        <x:f>IF(A88="","",IF(OR(NOT(ISNUMBER(E88)),E88&lt;=0,I88=""),"",I88/E88))</x:f>
      </x:c>
      <x:c r="K88" s="23" t="str">
        <x:f>IF(A88="","",IF(OR(J88="",NOT(ISNUMBER(F88))),"",J88*F88))</x:f>
      </x:c>
      <x:c r="L88" s="23" t="str">
        <x:f>IF(A88="","",IF(OR(NOT(ISNUMBER(F88)),NOT(ISNUMBER(G88))),"",F88*G88))</x:f>
      </x:c>
      <x:c r="M88" s="11"/>
      <x:c r="N88" s="14"/>
      <x:c r="O88" s="11"/>
      <x:c r="P88" s="21" t="str">
        <x:f>IF(A88="","",IF(AND(COUNTIFS($A$7:$A$206,A88,$B$7:$B$206,B88)=1,B88=Setup!$B$4,D88&lt;&gt;"",ISNUMBER(E88),E88&gt;0,ISNUMBER(F88),F88&gt;=0,F88&lt;=1,ISNUMBER(G88),G88&gt;=0,G88&lt;=1,O88&lt;&gt;""),"Valid","Review baseline / ID / weight"))</x:f>
      </x:c>
    </x:row>
    <x:row r="89" ht="60" customHeight="1">
      <x:c r="A89" s="11"/>
      <x:c r="B89" s="11"/>
      <x:c r="C89" s="11"/>
      <x:c r="D89" s="11"/>
      <x:c r="E89" s="12"/>
      <x:c r="F89" s="13"/>
      <x:c r="G89" s="13"/>
      <x:c r="H89" s="21" t="str">
        <x:f>IF(A89="","",COUNTIFS(Daily!$C$7:$C$206,A89,Daily!$B$7:$B$206,B89,Daily!$I$7:$I$206,"Accepted",Daily!$P$7:$P$206,"Recorded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9" s="22" t="str">
        <x:f>IF(A89="","",IF(H89=0,"",SUMIFS(Daily!$H$7:$H$206,Daily!$C$7:$C$206,A89,Daily!$B$7:$B$206,B89,Daily!$I$7:$I$206,"Accepted",Daily!$P$7:$P$206,"Recorded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9" s="23" t="str">
        <x:f>IF(A89="","",IF(OR(NOT(ISNUMBER(E89)),E89&lt;=0,I89=""),"",I89/E89))</x:f>
      </x:c>
      <x:c r="K89" s="23" t="str">
        <x:f>IF(A89="","",IF(OR(J89="",NOT(ISNUMBER(F89))),"",J89*F89))</x:f>
      </x:c>
      <x:c r="L89" s="23" t="str">
        <x:f>IF(A89="","",IF(OR(NOT(ISNUMBER(F89)),NOT(ISNUMBER(G89))),"",F89*G89))</x:f>
      </x:c>
      <x:c r="M89" s="11"/>
      <x:c r="N89" s="14"/>
      <x:c r="O89" s="11"/>
      <x:c r="P89" s="21" t="str">
        <x:f>IF(A89="","",IF(AND(COUNTIFS($A$7:$A$206,A89,$B$7:$B$206,B89)=1,B89=Setup!$B$4,D89&lt;&gt;"",ISNUMBER(E89),E89&gt;0,ISNUMBER(F89),F89&gt;=0,F89&lt;=1,ISNUMBER(G89),G89&gt;=0,G89&lt;=1,O89&lt;&gt;""),"Valid","Review baseline / ID / weight"))</x:f>
      </x:c>
    </x:row>
    <x:row r="90" ht="60" customHeight="1">
      <x:c r="A90" s="11"/>
      <x:c r="B90" s="11"/>
      <x:c r="C90" s="11"/>
      <x:c r="D90" s="11"/>
      <x:c r="E90" s="12"/>
      <x:c r="F90" s="13"/>
      <x:c r="G90" s="13"/>
      <x:c r="H90" s="21" t="str">
        <x:f>IF(A90="","",COUNTIFS(Daily!$C$7:$C$206,A90,Daily!$B$7:$B$206,B90,Daily!$I$7:$I$206,"Accepted",Daily!$P$7:$P$206,"Recorded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0" s="22" t="str">
        <x:f>IF(A90="","",IF(H90=0,"",SUMIFS(Daily!$H$7:$H$206,Daily!$C$7:$C$206,A90,Daily!$B$7:$B$206,B90,Daily!$I$7:$I$206,"Accepted",Daily!$P$7:$P$206,"Recorded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0" s="23" t="str">
        <x:f>IF(A90="","",IF(OR(NOT(ISNUMBER(E90)),E90&lt;=0,I90=""),"",I90/E90))</x:f>
      </x:c>
      <x:c r="K90" s="23" t="str">
        <x:f>IF(A90="","",IF(OR(J90="",NOT(ISNUMBER(F90))),"",J90*F90))</x:f>
      </x:c>
      <x:c r="L90" s="23" t="str">
        <x:f>IF(A90="","",IF(OR(NOT(ISNUMBER(F90)),NOT(ISNUMBER(G90))),"",F90*G90))</x:f>
      </x:c>
      <x:c r="M90" s="11"/>
      <x:c r="N90" s="14"/>
      <x:c r="O90" s="11"/>
      <x:c r="P90" s="21" t="str">
        <x:f>IF(A90="","",IF(AND(COUNTIFS($A$7:$A$206,A90,$B$7:$B$206,B90)=1,B90=Setup!$B$4,D90&lt;&gt;"",ISNUMBER(E90),E90&gt;0,ISNUMBER(F90),F90&gt;=0,F90&lt;=1,ISNUMBER(G90),G90&gt;=0,G90&lt;=1,O90&lt;&gt;""),"Valid","Review baseline / ID / weight"))</x:f>
      </x:c>
    </x:row>
    <x:row r="91" ht="60" customHeight="1">
      <x:c r="A91" s="11"/>
      <x:c r="B91" s="11"/>
      <x:c r="C91" s="11"/>
      <x:c r="D91" s="11"/>
      <x:c r="E91" s="12"/>
      <x:c r="F91" s="13"/>
      <x:c r="G91" s="13"/>
      <x:c r="H91" s="21" t="str">
        <x:f>IF(A91="","",COUNTIFS(Daily!$C$7:$C$206,A91,Daily!$B$7:$B$206,B91,Daily!$I$7:$I$206,"Accepted",Daily!$P$7:$P$206,"Recorded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1" s="22" t="str">
        <x:f>IF(A91="","",IF(H91=0,"",SUMIFS(Daily!$H$7:$H$206,Daily!$C$7:$C$206,A91,Daily!$B$7:$B$206,B91,Daily!$I$7:$I$206,"Accepted",Daily!$P$7:$P$206,"Recorded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1" s="23" t="str">
        <x:f>IF(A91="","",IF(OR(NOT(ISNUMBER(E91)),E91&lt;=0,I91=""),"",I91/E91))</x:f>
      </x:c>
      <x:c r="K91" s="23" t="str">
        <x:f>IF(A91="","",IF(OR(J91="",NOT(ISNUMBER(F91))),"",J91*F91))</x:f>
      </x:c>
      <x:c r="L91" s="23" t="str">
        <x:f>IF(A91="","",IF(OR(NOT(ISNUMBER(F91)),NOT(ISNUMBER(G91))),"",F91*G91))</x:f>
      </x:c>
      <x:c r="M91" s="11"/>
      <x:c r="N91" s="14"/>
      <x:c r="O91" s="11"/>
      <x:c r="P91" s="21" t="str">
        <x:f>IF(A91="","",IF(AND(COUNTIFS($A$7:$A$206,A91,$B$7:$B$206,B91)=1,B91=Setup!$B$4,D91&lt;&gt;"",ISNUMBER(E91),E91&gt;0,ISNUMBER(F91),F91&gt;=0,F91&lt;=1,ISNUMBER(G91),G91&gt;=0,G91&lt;=1,O91&lt;&gt;""),"Valid","Review baseline / ID / weight"))</x:f>
      </x:c>
    </x:row>
    <x:row r="92" ht="60" customHeight="1">
      <x:c r="A92" s="11"/>
      <x:c r="B92" s="11"/>
      <x:c r="C92" s="11"/>
      <x:c r="D92" s="11"/>
      <x:c r="E92" s="12"/>
      <x:c r="F92" s="13"/>
      <x:c r="G92" s="13"/>
      <x:c r="H92" s="21" t="str">
        <x:f>IF(A92="","",COUNTIFS(Daily!$C$7:$C$206,A92,Daily!$B$7:$B$206,B92,Daily!$I$7:$I$206,"Accepted",Daily!$P$7:$P$206,"Recorded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2" s="22" t="str">
        <x:f>IF(A92="","",IF(H92=0,"",SUMIFS(Daily!$H$7:$H$206,Daily!$C$7:$C$206,A92,Daily!$B$7:$B$206,B92,Daily!$I$7:$I$206,"Accepted",Daily!$P$7:$P$206,"Recorded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2" s="23" t="str">
        <x:f>IF(A92="","",IF(OR(NOT(ISNUMBER(E92)),E92&lt;=0,I92=""),"",I92/E92))</x:f>
      </x:c>
      <x:c r="K92" s="23" t="str">
        <x:f>IF(A92="","",IF(OR(J92="",NOT(ISNUMBER(F92))),"",J92*F92))</x:f>
      </x:c>
      <x:c r="L92" s="23" t="str">
        <x:f>IF(A92="","",IF(OR(NOT(ISNUMBER(F92)),NOT(ISNUMBER(G92))),"",F92*G92))</x:f>
      </x:c>
      <x:c r="M92" s="11"/>
      <x:c r="N92" s="14"/>
      <x:c r="O92" s="11"/>
      <x:c r="P92" s="21" t="str">
        <x:f>IF(A92="","",IF(AND(COUNTIFS($A$7:$A$206,A92,$B$7:$B$206,B92)=1,B92=Setup!$B$4,D92&lt;&gt;"",ISNUMBER(E92),E92&gt;0,ISNUMBER(F92),F92&gt;=0,F92&lt;=1,ISNUMBER(G92),G92&gt;=0,G92&lt;=1,O92&lt;&gt;""),"Valid","Review baseline / ID / weight"))</x:f>
      </x:c>
    </x:row>
    <x:row r="93" ht="60" customHeight="1">
      <x:c r="A93" s="11"/>
      <x:c r="B93" s="11"/>
      <x:c r="C93" s="11"/>
      <x:c r="D93" s="11"/>
      <x:c r="E93" s="12"/>
      <x:c r="F93" s="13"/>
      <x:c r="G93" s="13"/>
      <x:c r="H93" s="21" t="str">
        <x:f>IF(A93="","",COUNTIFS(Daily!$C$7:$C$206,A93,Daily!$B$7:$B$206,B93,Daily!$I$7:$I$206,"Accepted",Daily!$P$7:$P$206,"Recorded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3" s="22" t="str">
        <x:f>IF(A93="","",IF(H93=0,"",SUMIFS(Daily!$H$7:$H$206,Daily!$C$7:$C$206,A93,Daily!$B$7:$B$206,B93,Daily!$I$7:$I$206,"Accepted",Daily!$P$7:$P$206,"Recorded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3" s="23" t="str">
        <x:f>IF(A93="","",IF(OR(NOT(ISNUMBER(E93)),E93&lt;=0,I93=""),"",I93/E93))</x:f>
      </x:c>
      <x:c r="K93" s="23" t="str">
        <x:f>IF(A93="","",IF(OR(J93="",NOT(ISNUMBER(F93))),"",J93*F93))</x:f>
      </x:c>
      <x:c r="L93" s="23" t="str">
        <x:f>IF(A93="","",IF(OR(NOT(ISNUMBER(F93)),NOT(ISNUMBER(G93))),"",F93*G93))</x:f>
      </x:c>
      <x:c r="M93" s="11"/>
      <x:c r="N93" s="14"/>
      <x:c r="O93" s="11"/>
      <x:c r="P93" s="21" t="str">
        <x:f>IF(A93="","",IF(AND(COUNTIFS($A$7:$A$206,A93,$B$7:$B$206,B93)=1,B93=Setup!$B$4,D93&lt;&gt;"",ISNUMBER(E93),E93&gt;0,ISNUMBER(F93),F93&gt;=0,F93&lt;=1,ISNUMBER(G93),G93&gt;=0,G93&lt;=1,O93&lt;&gt;""),"Valid","Review baseline / ID / weight"))</x:f>
      </x:c>
    </x:row>
    <x:row r="94" ht="60" customHeight="1">
      <x:c r="A94" s="11"/>
      <x:c r="B94" s="11"/>
      <x:c r="C94" s="11"/>
      <x:c r="D94" s="11"/>
      <x:c r="E94" s="12"/>
      <x:c r="F94" s="13"/>
      <x:c r="G94" s="13"/>
      <x:c r="H94" s="21" t="str">
        <x:f>IF(A94="","",COUNTIFS(Daily!$C$7:$C$206,A94,Daily!$B$7:$B$206,B94,Daily!$I$7:$I$206,"Accepted",Daily!$P$7:$P$206,"Recorded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4" s="22" t="str">
        <x:f>IF(A94="","",IF(H94=0,"",SUMIFS(Daily!$H$7:$H$206,Daily!$C$7:$C$206,A94,Daily!$B$7:$B$206,B94,Daily!$I$7:$I$206,"Accepted",Daily!$P$7:$P$206,"Recorded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4" s="23" t="str">
        <x:f>IF(A94="","",IF(OR(NOT(ISNUMBER(E94)),E94&lt;=0,I94=""),"",I94/E94))</x:f>
      </x:c>
      <x:c r="K94" s="23" t="str">
        <x:f>IF(A94="","",IF(OR(J94="",NOT(ISNUMBER(F94))),"",J94*F94))</x:f>
      </x:c>
      <x:c r="L94" s="23" t="str">
        <x:f>IF(A94="","",IF(OR(NOT(ISNUMBER(F94)),NOT(ISNUMBER(G94))),"",F94*G94))</x:f>
      </x:c>
      <x:c r="M94" s="11"/>
      <x:c r="N94" s="14"/>
      <x:c r="O94" s="11"/>
      <x:c r="P94" s="21" t="str">
        <x:f>IF(A94="","",IF(AND(COUNTIFS($A$7:$A$206,A94,$B$7:$B$206,B94)=1,B94=Setup!$B$4,D94&lt;&gt;"",ISNUMBER(E94),E94&gt;0,ISNUMBER(F94),F94&gt;=0,F94&lt;=1,ISNUMBER(G94),G94&gt;=0,G94&lt;=1,O94&lt;&gt;""),"Valid","Review baseline / ID / weight"))</x:f>
      </x:c>
    </x:row>
    <x:row r="95" ht="60" customHeight="1">
      <x:c r="A95" s="11"/>
      <x:c r="B95" s="11"/>
      <x:c r="C95" s="11"/>
      <x:c r="D95" s="11"/>
      <x:c r="E95" s="12"/>
      <x:c r="F95" s="13"/>
      <x:c r="G95" s="13"/>
      <x:c r="H95" s="21" t="str">
        <x:f>IF(A95="","",COUNTIFS(Daily!$C$7:$C$206,A95,Daily!$B$7:$B$206,B95,Daily!$I$7:$I$206,"Accepted",Daily!$P$7:$P$206,"Recorded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5" s="22" t="str">
        <x:f>IF(A95="","",IF(H95=0,"",SUMIFS(Daily!$H$7:$H$206,Daily!$C$7:$C$206,A95,Daily!$B$7:$B$206,B95,Daily!$I$7:$I$206,"Accepted",Daily!$P$7:$P$206,"Recorded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5" s="23" t="str">
        <x:f>IF(A95="","",IF(OR(NOT(ISNUMBER(E95)),E95&lt;=0,I95=""),"",I95/E95))</x:f>
      </x:c>
      <x:c r="K95" s="23" t="str">
        <x:f>IF(A95="","",IF(OR(J95="",NOT(ISNUMBER(F95))),"",J95*F95))</x:f>
      </x:c>
      <x:c r="L95" s="23" t="str">
        <x:f>IF(A95="","",IF(OR(NOT(ISNUMBER(F95)),NOT(ISNUMBER(G95))),"",F95*G95))</x:f>
      </x:c>
      <x:c r="M95" s="11"/>
      <x:c r="N95" s="14"/>
      <x:c r="O95" s="11"/>
      <x:c r="P95" s="21" t="str">
        <x:f>IF(A95="","",IF(AND(COUNTIFS($A$7:$A$206,A95,$B$7:$B$206,B95)=1,B95=Setup!$B$4,D95&lt;&gt;"",ISNUMBER(E95),E95&gt;0,ISNUMBER(F95),F95&gt;=0,F95&lt;=1,ISNUMBER(G95),G95&gt;=0,G95&lt;=1,O95&lt;&gt;""),"Valid","Review baseline / ID / weight"))</x:f>
      </x:c>
    </x:row>
    <x:row r="96" ht="60" customHeight="1">
      <x:c r="A96" s="11"/>
      <x:c r="B96" s="11"/>
      <x:c r="C96" s="11"/>
      <x:c r="D96" s="11"/>
      <x:c r="E96" s="12"/>
      <x:c r="F96" s="13"/>
      <x:c r="G96" s="13"/>
      <x:c r="H96" s="21" t="str">
        <x:f>IF(A96="","",COUNTIFS(Daily!$C$7:$C$206,A96,Daily!$B$7:$B$206,B96,Daily!$I$7:$I$206,"Accepted",Daily!$P$7:$P$206,"Recorded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6" s="22" t="str">
        <x:f>IF(A96="","",IF(H96=0,"",SUMIFS(Daily!$H$7:$H$206,Daily!$C$7:$C$206,A96,Daily!$B$7:$B$206,B96,Daily!$I$7:$I$206,"Accepted",Daily!$P$7:$P$206,"Recorded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6" s="23" t="str">
        <x:f>IF(A96="","",IF(OR(NOT(ISNUMBER(E96)),E96&lt;=0,I96=""),"",I96/E96))</x:f>
      </x:c>
      <x:c r="K96" s="23" t="str">
        <x:f>IF(A96="","",IF(OR(J96="",NOT(ISNUMBER(F96))),"",J96*F96))</x:f>
      </x:c>
      <x:c r="L96" s="23" t="str">
        <x:f>IF(A96="","",IF(OR(NOT(ISNUMBER(F96)),NOT(ISNUMBER(G96))),"",F96*G96))</x:f>
      </x:c>
      <x:c r="M96" s="11"/>
      <x:c r="N96" s="14"/>
      <x:c r="O96" s="11"/>
      <x:c r="P96" s="21" t="str">
        <x:f>IF(A96="","",IF(AND(COUNTIFS($A$7:$A$206,A96,$B$7:$B$206,B96)=1,B96=Setup!$B$4,D96&lt;&gt;"",ISNUMBER(E96),E96&gt;0,ISNUMBER(F96),F96&gt;=0,F96&lt;=1,ISNUMBER(G96),G96&gt;=0,G96&lt;=1,O96&lt;&gt;""),"Valid","Review baseline / ID / weight"))</x:f>
      </x:c>
    </x:row>
    <x:row r="97" ht="60" customHeight="1">
      <x:c r="A97" s="11"/>
      <x:c r="B97" s="11"/>
      <x:c r="C97" s="11"/>
      <x:c r="D97" s="11"/>
      <x:c r="E97" s="12"/>
      <x:c r="F97" s="13"/>
      <x:c r="G97" s="13"/>
      <x:c r="H97" s="21" t="str">
        <x:f>IF(A97="","",COUNTIFS(Daily!$C$7:$C$206,A97,Daily!$B$7:$B$206,B97,Daily!$I$7:$I$206,"Accepted",Daily!$P$7:$P$206,"Recorded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7" s="22" t="str">
        <x:f>IF(A97="","",IF(H97=0,"",SUMIFS(Daily!$H$7:$H$206,Daily!$C$7:$C$206,A97,Daily!$B$7:$B$206,B97,Daily!$I$7:$I$206,"Accepted",Daily!$P$7:$P$206,"Recorded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7" s="23" t="str">
        <x:f>IF(A97="","",IF(OR(NOT(ISNUMBER(E97)),E97&lt;=0,I97=""),"",I97/E97))</x:f>
      </x:c>
      <x:c r="K97" s="23" t="str">
        <x:f>IF(A97="","",IF(OR(J97="",NOT(ISNUMBER(F97))),"",J97*F97))</x:f>
      </x:c>
      <x:c r="L97" s="23" t="str">
        <x:f>IF(A97="","",IF(OR(NOT(ISNUMBER(F97)),NOT(ISNUMBER(G97))),"",F97*G97))</x:f>
      </x:c>
      <x:c r="M97" s="11"/>
      <x:c r="N97" s="14"/>
      <x:c r="O97" s="11"/>
      <x:c r="P97" s="21" t="str">
        <x:f>IF(A97="","",IF(AND(COUNTIFS($A$7:$A$206,A97,$B$7:$B$206,B97)=1,B97=Setup!$B$4,D97&lt;&gt;"",ISNUMBER(E97),E97&gt;0,ISNUMBER(F97),F97&gt;=0,F97&lt;=1,ISNUMBER(G97),G97&gt;=0,G97&lt;=1,O97&lt;&gt;""),"Valid","Review baseline / ID / weight"))</x:f>
      </x:c>
    </x:row>
    <x:row r="98" ht="60" customHeight="1">
      <x:c r="A98" s="11"/>
      <x:c r="B98" s="11"/>
      <x:c r="C98" s="11"/>
      <x:c r="D98" s="11"/>
      <x:c r="E98" s="12"/>
      <x:c r="F98" s="13"/>
      <x:c r="G98" s="13"/>
      <x:c r="H98" s="21" t="str">
        <x:f>IF(A98="","",COUNTIFS(Daily!$C$7:$C$206,A98,Daily!$B$7:$B$206,B98,Daily!$I$7:$I$206,"Accepted",Daily!$P$7:$P$206,"Recorded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8" s="22" t="str">
        <x:f>IF(A98="","",IF(H98=0,"",SUMIFS(Daily!$H$7:$H$206,Daily!$C$7:$C$206,A98,Daily!$B$7:$B$206,B98,Daily!$I$7:$I$206,"Accepted",Daily!$P$7:$P$206,"Recorded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8" s="23" t="str">
        <x:f>IF(A98="","",IF(OR(NOT(ISNUMBER(E98)),E98&lt;=0,I98=""),"",I98/E98))</x:f>
      </x:c>
      <x:c r="K98" s="23" t="str">
        <x:f>IF(A98="","",IF(OR(J98="",NOT(ISNUMBER(F98))),"",J98*F98))</x:f>
      </x:c>
      <x:c r="L98" s="23" t="str">
        <x:f>IF(A98="","",IF(OR(NOT(ISNUMBER(F98)),NOT(ISNUMBER(G98))),"",F98*G98))</x:f>
      </x:c>
      <x:c r="M98" s="11"/>
      <x:c r="N98" s="14"/>
      <x:c r="O98" s="11"/>
      <x:c r="P98" s="21" t="str">
        <x:f>IF(A98="","",IF(AND(COUNTIFS($A$7:$A$206,A98,$B$7:$B$206,B98)=1,B98=Setup!$B$4,D98&lt;&gt;"",ISNUMBER(E98),E98&gt;0,ISNUMBER(F98),F98&gt;=0,F98&lt;=1,ISNUMBER(G98),G98&gt;=0,G98&lt;=1,O98&lt;&gt;""),"Valid","Review baseline / ID / weight"))</x:f>
      </x:c>
    </x:row>
    <x:row r="99" ht="60" customHeight="1">
      <x:c r="A99" s="11"/>
      <x:c r="B99" s="11"/>
      <x:c r="C99" s="11"/>
      <x:c r="D99" s="11"/>
      <x:c r="E99" s="12"/>
      <x:c r="F99" s="13"/>
      <x:c r="G99" s="13"/>
      <x:c r="H99" s="21" t="str">
        <x:f>IF(A99="","",COUNTIFS(Daily!$C$7:$C$206,A99,Daily!$B$7:$B$206,B99,Daily!$I$7:$I$206,"Accepted",Daily!$P$7:$P$206,"Recorded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9" s="22" t="str">
        <x:f>IF(A99="","",IF(H99=0,"",SUMIFS(Daily!$H$7:$H$206,Daily!$C$7:$C$206,A99,Daily!$B$7:$B$206,B99,Daily!$I$7:$I$206,"Accepted",Daily!$P$7:$P$206,"Recorded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9" s="23" t="str">
        <x:f>IF(A99="","",IF(OR(NOT(ISNUMBER(E99)),E99&lt;=0,I99=""),"",I99/E99))</x:f>
      </x:c>
      <x:c r="K99" s="23" t="str">
        <x:f>IF(A99="","",IF(OR(J99="",NOT(ISNUMBER(F99))),"",J99*F99))</x:f>
      </x:c>
      <x:c r="L99" s="23" t="str">
        <x:f>IF(A99="","",IF(OR(NOT(ISNUMBER(F99)),NOT(ISNUMBER(G99))),"",F99*G99))</x:f>
      </x:c>
      <x:c r="M99" s="11"/>
      <x:c r="N99" s="14"/>
      <x:c r="O99" s="11"/>
      <x:c r="P99" s="21" t="str">
        <x:f>IF(A99="","",IF(AND(COUNTIFS($A$7:$A$206,A99,$B$7:$B$206,B99)=1,B99=Setup!$B$4,D99&lt;&gt;"",ISNUMBER(E99),E99&gt;0,ISNUMBER(F99),F99&gt;=0,F99&lt;=1,ISNUMBER(G99),G99&gt;=0,G99&lt;=1,O99&lt;&gt;""),"Valid","Review baseline / ID / weight"))</x:f>
      </x:c>
    </x:row>
    <x:row r="100" ht="60" customHeight="1">
      <x:c r="A100" s="11"/>
      <x:c r="B100" s="11"/>
      <x:c r="C100" s="11"/>
      <x:c r="D100" s="11"/>
      <x:c r="E100" s="12"/>
      <x:c r="F100" s="13"/>
      <x:c r="G100" s="13"/>
      <x:c r="H100" s="21" t="str">
        <x:f>IF(A100="","",COUNTIFS(Daily!$C$7:$C$206,A100,Daily!$B$7:$B$206,B100,Daily!$I$7:$I$206,"Accepted",Daily!$P$7:$P$206,"Recorded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0" s="22" t="str">
        <x:f>IF(A100="","",IF(H100=0,"",SUMIFS(Daily!$H$7:$H$206,Daily!$C$7:$C$206,A100,Daily!$B$7:$B$206,B100,Daily!$I$7:$I$206,"Accepted",Daily!$P$7:$P$206,"Recorded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0" s="23" t="str">
        <x:f>IF(A100="","",IF(OR(NOT(ISNUMBER(E100)),E100&lt;=0,I100=""),"",I100/E100))</x:f>
      </x:c>
      <x:c r="K100" s="23" t="str">
        <x:f>IF(A100="","",IF(OR(J100="",NOT(ISNUMBER(F100))),"",J100*F100))</x:f>
      </x:c>
      <x:c r="L100" s="23" t="str">
        <x:f>IF(A100="","",IF(OR(NOT(ISNUMBER(F100)),NOT(ISNUMBER(G100))),"",F100*G100))</x:f>
      </x:c>
      <x:c r="M100" s="11"/>
      <x:c r="N100" s="14"/>
      <x:c r="O100" s="11"/>
      <x:c r="P100" s="21" t="str">
        <x:f>IF(A100="","",IF(AND(COUNTIFS($A$7:$A$206,A100,$B$7:$B$206,B100)=1,B100=Setup!$B$4,D100&lt;&gt;"",ISNUMBER(E100),E100&gt;0,ISNUMBER(F100),F100&gt;=0,F100&lt;=1,ISNUMBER(G100),G100&gt;=0,G100&lt;=1,O100&lt;&gt;""),"Valid","Review baseline / ID / weight"))</x:f>
      </x:c>
    </x:row>
    <x:row r="101" ht="60" customHeight="1">
      <x:c r="A101" s="11"/>
      <x:c r="B101" s="11"/>
      <x:c r="C101" s="11"/>
      <x:c r="D101" s="11"/>
      <x:c r="E101" s="12"/>
      <x:c r="F101" s="13"/>
      <x:c r="G101" s="13"/>
      <x:c r="H101" s="21" t="str">
        <x:f>IF(A101="","",COUNTIFS(Daily!$C$7:$C$206,A101,Daily!$B$7:$B$206,B101,Daily!$I$7:$I$206,"Accepted",Daily!$P$7:$P$206,"Recorded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1" s="22" t="str">
        <x:f>IF(A101="","",IF(H101=0,"",SUMIFS(Daily!$H$7:$H$206,Daily!$C$7:$C$206,A101,Daily!$B$7:$B$206,B101,Daily!$I$7:$I$206,"Accepted",Daily!$P$7:$P$206,"Recorded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1" s="23" t="str">
        <x:f>IF(A101="","",IF(OR(NOT(ISNUMBER(E101)),E101&lt;=0,I101=""),"",I101/E101))</x:f>
      </x:c>
      <x:c r="K101" s="23" t="str">
        <x:f>IF(A101="","",IF(OR(J101="",NOT(ISNUMBER(F101))),"",J101*F101))</x:f>
      </x:c>
      <x:c r="L101" s="23" t="str">
        <x:f>IF(A101="","",IF(OR(NOT(ISNUMBER(F101)),NOT(ISNUMBER(G101))),"",F101*G101))</x:f>
      </x:c>
      <x:c r="M101" s="11"/>
      <x:c r="N101" s="14"/>
      <x:c r="O101" s="11"/>
      <x:c r="P101" s="21" t="str">
        <x:f>IF(A101="","",IF(AND(COUNTIFS($A$7:$A$206,A101,$B$7:$B$206,B101)=1,B101=Setup!$B$4,D101&lt;&gt;"",ISNUMBER(E101),E101&gt;0,ISNUMBER(F101),F101&gt;=0,F101&lt;=1,ISNUMBER(G101),G101&gt;=0,G101&lt;=1,O101&lt;&gt;""),"Valid","Review baseline / ID / weight"))</x:f>
      </x:c>
    </x:row>
    <x:row r="102" ht="60" customHeight="1">
      <x:c r="A102" s="11"/>
      <x:c r="B102" s="11"/>
      <x:c r="C102" s="11"/>
      <x:c r="D102" s="11"/>
      <x:c r="E102" s="12"/>
      <x:c r="F102" s="13"/>
      <x:c r="G102" s="13"/>
      <x:c r="H102" s="21" t="str">
        <x:f>IF(A102="","",COUNTIFS(Daily!$C$7:$C$206,A102,Daily!$B$7:$B$206,B102,Daily!$I$7:$I$206,"Accepted",Daily!$P$7:$P$206,"Recorded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2" s="22" t="str">
        <x:f>IF(A102="","",IF(H102=0,"",SUMIFS(Daily!$H$7:$H$206,Daily!$C$7:$C$206,A102,Daily!$B$7:$B$206,B102,Daily!$I$7:$I$206,"Accepted",Daily!$P$7:$P$206,"Recorded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2" s="23" t="str">
        <x:f>IF(A102="","",IF(OR(NOT(ISNUMBER(E102)),E102&lt;=0,I102=""),"",I102/E102))</x:f>
      </x:c>
      <x:c r="K102" s="23" t="str">
        <x:f>IF(A102="","",IF(OR(J102="",NOT(ISNUMBER(F102))),"",J102*F102))</x:f>
      </x:c>
      <x:c r="L102" s="23" t="str">
        <x:f>IF(A102="","",IF(OR(NOT(ISNUMBER(F102)),NOT(ISNUMBER(G102))),"",F102*G102))</x:f>
      </x:c>
      <x:c r="M102" s="11"/>
      <x:c r="N102" s="14"/>
      <x:c r="O102" s="11"/>
      <x:c r="P102" s="21" t="str">
        <x:f>IF(A102="","",IF(AND(COUNTIFS($A$7:$A$206,A102,$B$7:$B$206,B102)=1,B102=Setup!$B$4,D102&lt;&gt;"",ISNUMBER(E102),E102&gt;0,ISNUMBER(F102),F102&gt;=0,F102&lt;=1,ISNUMBER(G102),G102&gt;=0,G102&lt;=1,O102&lt;&gt;""),"Valid","Review baseline / ID / weight"))</x:f>
      </x:c>
    </x:row>
    <x:row r="103" ht="60" customHeight="1">
      <x:c r="A103" s="11"/>
      <x:c r="B103" s="11"/>
      <x:c r="C103" s="11"/>
      <x:c r="D103" s="11"/>
      <x:c r="E103" s="12"/>
      <x:c r="F103" s="13"/>
      <x:c r="G103" s="13"/>
      <x:c r="H103" s="21" t="str">
        <x:f>IF(A103="","",COUNTIFS(Daily!$C$7:$C$206,A103,Daily!$B$7:$B$206,B103,Daily!$I$7:$I$206,"Accepted",Daily!$P$7:$P$206,"Recorded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3" s="22" t="str">
        <x:f>IF(A103="","",IF(H103=0,"",SUMIFS(Daily!$H$7:$H$206,Daily!$C$7:$C$206,A103,Daily!$B$7:$B$206,B103,Daily!$I$7:$I$206,"Accepted",Daily!$P$7:$P$206,"Recorded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3" s="23" t="str">
        <x:f>IF(A103="","",IF(OR(NOT(ISNUMBER(E103)),E103&lt;=0,I103=""),"",I103/E103))</x:f>
      </x:c>
      <x:c r="K103" s="23" t="str">
        <x:f>IF(A103="","",IF(OR(J103="",NOT(ISNUMBER(F103))),"",J103*F103))</x:f>
      </x:c>
      <x:c r="L103" s="23" t="str">
        <x:f>IF(A103="","",IF(OR(NOT(ISNUMBER(F103)),NOT(ISNUMBER(G103))),"",F103*G103))</x:f>
      </x:c>
      <x:c r="M103" s="11"/>
      <x:c r="N103" s="14"/>
      <x:c r="O103" s="11"/>
      <x:c r="P103" s="21" t="str">
        <x:f>IF(A103="","",IF(AND(COUNTIFS($A$7:$A$206,A103,$B$7:$B$206,B103)=1,B103=Setup!$B$4,D103&lt;&gt;"",ISNUMBER(E103),E103&gt;0,ISNUMBER(F103),F103&gt;=0,F103&lt;=1,ISNUMBER(G103),G103&gt;=0,G103&lt;=1,O103&lt;&gt;""),"Valid","Review baseline / ID / weight"))</x:f>
      </x:c>
    </x:row>
    <x:row r="104" ht="60" customHeight="1">
      <x:c r="A104" s="11"/>
      <x:c r="B104" s="11"/>
      <x:c r="C104" s="11"/>
      <x:c r="D104" s="11"/>
      <x:c r="E104" s="12"/>
      <x:c r="F104" s="13"/>
      <x:c r="G104" s="13"/>
      <x:c r="H104" s="21" t="str">
        <x:f>IF(A104="","",COUNTIFS(Daily!$C$7:$C$206,A104,Daily!$B$7:$B$206,B104,Daily!$I$7:$I$206,"Accepted",Daily!$P$7:$P$206,"Recorded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4" s="22" t="str">
        <x:f>IF(A104="","",IF(H104=0,"",SUMIFS(Daily!$H$7:$H$206,Daily!$C$7:$C$206,A104,Daily!$B$7:$B$206,B104,Daily!$I$7:$I$206,"Accepted",Daily!$P$7:$P$206,"Recorded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4" s="23" t="str">
        <x:f>IF(A104="","",IF(OR(NOT(ISNUMBER(E104)),E104&lt;=0,I104=""),"",I104/E104))</x:f>
      </x:c>
      <x:c r="K104" s="23" t="str">
        <x:f>IF(A104="","",IF(OR(J104="",NOT(ISNUMBER(F104))),"",J104*F104))</x:f>
      </x:c>
      <x:c r="L104" s="23" t="str">
        <x:f>IF(A104="","",IF(OR(NOT(ISNUMBER(F104)),NOT(ISNUMBER(G104))),"",F104*G104))</x:f>
      </x:c>
      <x:c r="M104" s="11"/>
      <x:c r="N104" s="14"/>
      <x:c r="O104" s="11"/>
      <x:c r="P104" s="21" t="str">
        <x:f>IF(A104="","",IF(AND(COUNTIFS($A$7:$A$206,A104,$B$7:$B$206,B104)=1,B104=Setup!$B$4,D104&lt;&gt;"",ISNUMBER(E104),E104&gt;0,ISNUMBER(F104),F104&gt;=0,F104&lt;=1,ISNUMBER(G104),G104&gt;=0,G104&lt;=1,O104&lt;&gt;""),"Valid","Review baseline / ID / weight"))</x:f>
      </x:c>
    </x:row>
    <x:row r="105" ht="60" customHeight="1">
      <x:c r="A105" s="11"/>
      <x:c r="B105" s="11"/>
      <x:c r="C105" s="11"/>
      <x:c r="D105" s="11"/>
      <x:c r="E105" s="12"/>
      <x:c r="F105" s="13"/>
      <x:c r="G105" s="13"/>
      <x:c r="H105" s="21" t="str">
        <x:f>IF(A105="","",COUNTIFS(Daily!$C$7:$C$206,A105,Daily!$B$7:$B$206,B105,Daily!$I$7:$I$206,"Accepted",Daily!$P$7:$P$206,"Recorded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5" s="22" t="str">
        <x:f>IF(A105="","",IF(H105=0,"",SUMIFS(Daily!$H$7:$H$206,Daily!$C$7:$C$206,A105,Daily!$B$7:$B$206,B105,Daily!$I$7:$I$206,"Accepted",Daily!$P$7:$P$206,"Recorded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5" s="23" t="str">
        <x:f>IF(A105="","",IF(OR(NOT(ISNUMBER(E105)),E105&lt;=0,I105=""),"",I105/E105))</x:f>
      </x:c>
      <x:c r="K105" s="23" t="str">
        <x:f>IF(A105="","",IF(OR(J105="",NOT(ISNUMBER(F105))),"",J105*F105))</x:f>
      </x:c>
      <x:c r="L105" s="23" t="str">
        <x:f>IF(A105="","",IF(OR(NOT(ISNUMBER(F105)),NOT(ISNUMBER(G105))),"",F105*G105))</x:f>
      </x:c>
      <x:c r="M105" s="11"/>
      <x:c r="N105" s="14"/>
      <x:c r="O105" s="11"/>
      <x:c r="P105" s="21" t="str">
        <x:f>IF(A105="","",IF(AND(COUNTIFS($A$7:$A$206,A105,$B$7:$B$206,B105)=1,B105=Setup!$B$4,D105&lt;&gt;"",ISNUMBER(E105),E105&gt;0,ISNUMBER(F105),F105&gt;=0,F105&lt;=1,ISNUMBER(G105),G105&gt;=0,G105&lt;=1,O105&lt;&gt;""),"Valid","Review baseline / ID / weight"))</x:f>
      </x:c>
    </x:row>
    <x:row r="106" ht="60" customHeight="1">
      <x:c r="A106" s="11"/>
      <x:c r="B106" s="11"/>
      <x:c r="C106" s="11"/>
      <x:c r="D106" s="11"/>
      <x:c r="E106" s="12"/>
      <x:c r="F106" s="13"/>
      <x:c r="G106" s="13"/>
      <x:c r="H106" s="21" t="str">
        <x:f>IF(A106="","",COUNTIFS(Daily!$C$7:$C$206,A106,Daily!$B$7:$B$206,B106,Daily!$I$7:$I$206,"Accepted",Daily!$P$7:$P$206,"Recorded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6" s="22" t="str">
        <x:f>IF(A106="","",IF(H106=0,"",SUMIFS(Daily!$H$7:$H$206,Daily!$C$7:$C$206,A106,Daily!$B$7:$B$206,B106,Daily!$I$7:$I$206,"Accepted",Daily!$P$7:$P$206,"Recorded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6" s="23" t="str">
        <x:f>IF(A106="","",IF(OR(NOT(ISNUMBER(E106)),E106&lt;=0,I106=""),"",I106/E106))</x:f>
      </x:c>
      <x:c r="K106" s="23" t="str">
        <x:f>IF(A106="","",IF(OR(J106="",NOT(ISNUMBER(F106))),"",J106*F106))</x:f>
      </x:c>
      <x:c r="L106" s="23" t="str">
        <x:f>IF(A106="","",IF(OR(NOT(ISNUMBER(F106)),NOT(ISNUMBER(G106))),"",F106*G106))</x:f>
      </x:c>
      <x:c r="M106" s="11"/>
      <x:c r="N106" s="14"/>
      <x:c r="O106" s="11"/>
      <x:c r="P106" s="21" t="str">
        <x:f>IF(A106="","",IF(AND(COUNTIFS($A$7:$A$206,A106,$B$7:$B$206,B106)=1,B106=Setup!$B$4,D106&lt;&gt;"",ISNUMBER(E106),E106&gt;0,ISNUMBER(F106),F106&gt;=0,F106&lt;=1,ISNUMBER(G106),G106&gt;=0,G106&lt;=1,O106&lt;&gt;""),"Valid","Review baseline / ID / weight"))</x:f>
      </x:c>
    </x:row>
    <x:row r="107" ht="60" customHeight="1">
      <x:c r="A107" s="11"/>
      <x:c r="B107" s="11"/>
      <x:c r="C107" s="11"/>
      <x:c r="D107" s="11"/>
      <x:c r="E107" s="12"/>
      <x:c r="F107" s="13"/>
      <x:c r="G107" s="13"/>
      <x:c r="H107" s="21" t="str">
        <x:f>IF(A107="","",COUNTIFS(Daily!$C$7:$C$206,A107,Daily!$B$7:$B$206,B107,Daily!$I$7:$I$206,"Accepted",Daily!$P$7:$P$206,"Recorded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7" s="22" t="str">
        <x:f>IF(A107="","",IF(H107=0,"",SUMIFS(Daily!$H$7:$H$206,Daily!$C$7:$C$206,A107,Daily!$B$7:$B$206,B107,Daily!$I$7:$I$206,"Accepted",Daily!$P$7:$P$206,"Recorded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7" s="23" t="str">
        <x:f>IF(A107="","",IF(OR(NOT(ISNUMBER(E107)),E107&lt;=0,I107=""),"",I107/E107))</x:f>
      </x:c>
      <x:c r="K107" s="23" t="str">
        <x:f>IF(A107="","",IF(OR(J107="",NOT(ISNUMBER(F107))),"",J107*F107))</x:f>
      </x:c>
      <x:c r="L107" s="23" t="str">
        <x:f>IF(A107="","",IF(OR(NOT(ISNUMBER(F107)),NOT(ISNUMBER(G107))),"",F107*G107))</x:f>
      </x:c>
      <x:c r="M107" s="11"/>
      <x:c r="N107" s="14"/>
      <x:c r="O107" s="11"/>
      <x:c r="P107" s="21" t="str">
        <x:f>IF(A107="","",IF(AND(COUNTIFS($A$7:$A$206,A107,$B$7:$B$206,B107)=1,B107=Setup!$B$4,D107&lt;&gt;"",ISNUMBER(E107),E107&gt;0,ISNUMBER(F107),F107&gt;=0,F107&lt;=1,ISNUMBER(G107),G107&gt;=0,G107&lt;=1,O107&lt;&gt;""),"Valid","Review baseline / ID / weight"))</x:f>
      </x:c>
    </x:row>
    <x:row r="108" ht="60" customHeight="1">
      <x:c r="A108" s="11"/>
      <x:c r="B108" s="11"/>
      <x:c r="C108" s="11"/>
      <x:c r="D108" s="11"/>
      <x:c r="E108" s="12"/>
      <x:c r="F108" s="13"/>
      <x:c r="G108" s="13"/>
      <x:c r="H108" s="21" t="str">
        <x:f>IF(A108="","",COUNTIFS(Daily!$C$7:$C$206,A108,Daily!$B$7:$B$206,B108,Daily!$I$7:$I$206,"Accepted",Daily!$P$7:$P$206,"Recorded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8" s="22" t="str">
        <x:f>IF(A108="","",IF(H108=0,"",SUMIFS(Daily!$H$7:$H$206,Daily!$C$7:$C$206,A108,Daily!$B$7:$B$206,B108,Daily!$I$7:$I$206,"Accepted",Daily!$P$7:$P$206,"Recorded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8" s="23" t="str">
        <x:f>IF(A108="","",IF(OR(NOT(ISNUMBER(E108)),E108&lt;=0,I108=""),"",I108/E108))</x:f>
      </x:c>
      <x:c r="K108" s="23" t="str">
        <x:f>IF(A108="","",IF(OR(J108="",NOT(ISNUMBER(F108))),"",J108*F108))</x:f>
      </x:c>
      <x:c r="L108" s="23" t="str">
        <x:f>IF(A108="","",IF(OR(NOT(ISNUMBER(F108)),NOT(ISNUMBER(G108))),"",F108*G108))</x:f>
      </x:c>
      <x:c r="M108" s="11"/>
      <x:c r="N108" s="14"/>
      <x:c r="O108" s="11"/>
      <x:c r="P108" s="21" t="str">
        <x:f>IF(A108="","",IF(AND(COUNTIFS($A$7:$A$206,A108,$B$7:$B$206,B108)=1,B108=Setup!$B$4,D108&lt;&gt;"",ISNUMBER(E108),E108&gt;0,ISNUMBER(F108),F108&gt;=0,F108&lt;=1,ISNUMBER(G108),G108&gt;=0,G108&lt;=1,O108&lt;&gt;""),"Valid","Review baseline / ID / weight"))</x:f>
      </x:c>
    </x:row>
    <x:row r="109" ht="60" customHeight="1">
      <x:c r="A109" s="11"/>
      <x:c r="B109" s="11"/>
      <x:c r="C109" s="11"/>
      <x:c r="D109" s="11"/>
      <x:c r="E109" s="12"/>
      <x:c r="F109" s="13"/>
      <x:c r="G109" s="13"/>
      <x:c r="H109" s="21" t="str">
        <x:f>IF(A109="","",COUNTIFS(Daily!$C$7:$C$206,A109,Daily!$B$7:$B$206,B109,Daily!$I$7:$I$206,"Accepted",Daily!$P$7:$P$206,"Recorded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9" s="22" t="str">
        <x:f>IF(A109="","",IF(H109=0,"",SUMIFS(Daily!$H$7:$H$206,Daily!$C$7:$C$206,A109,Daily!$B$7:$B$206,B109,Daily!$I$7:$I$206,"Accepted",Daily!$P$7:$P$206,"Recorded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9" s="23" t="str">
        <x:f>IF(A109="","",IF(OR(NOT(ISNUMBER(E109)),E109&lt;=0,I109=""),"",I109/E109))</x:f>
      </x:c>
      <x:c r="K109" s="23" t="str">
        <x:f>IF(A109="","",IF(OR(J109="",NOT(ISNUMBER(F109))),"",J109*F109))</x:f>
      </x:c>
      <x:c r="L109" s="23" t="str">
        <x:f>IF(A109="","",IF(OR(NOT(ISNUMBER(F109)),NOT(ISNUMBER(G109))),"",F109*G109))</x:f>
      </x:c>
      <x:c r="M109" s="11"/>
      <x:c r="N109" s="14"/>
      <x:c r="O109" s="11"/>
      <x:c r="P109" s="21" t="str">
        <x:f>IF(A109="","",IF(AND(COUNTIFS($A$7:$A$206,A109,$B$7:$B$206,B109)=1,B109=Setup!$B$4,D109&lt;&gt;"",ISNUMBER(E109),E109&gt;0,ISNUMBER(F109),F109&gt;=0,F109&lt;=1,ISNUMBER(G109),G109&gt;=0,G109&lt;=1,O109&lt;&gt;""),"Valid","Review baseline / ID / weight"))</x:f>
      </x:c>
    </x:row>
    <x:row r="110" ht="60" customHeight="1">
      <x:c r="A110" s="11"/>
      <x:c r="B110" s="11"/>
      <x:c r="C110" s="11"/>
      <x:c r="D110" s="11"/>
      <x:c r="E110" s="12"/>
      <x:c r="F110" s="13"/>
      <x:c r="G110" s="13"/>
      <x:c r="H110" s="21" t="str">
        <x:f>IF(A110="","",COUNTIFS(Daily!$C$7:$C$206,A110,Daily!$B$7:$B$206,B110,Daily!$I$7:$I$206,"Accepted",Daily!$P$7:$P$206,"Recorded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0" s="22" t="str">
        <x:f>IF(A110="","",IF(H110=0,"",SUMIFS(Daily!$H$7:$H$206,Daily!$C$7:$C$206,A110,Daily!$B$7:$B$206,B110,Daily!$I$7:$I$206,"Accepted",Daily!$P$7:$P$206,"Recorded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0" s="23" t="str">
        <x:f>IF(A110="","",IF(OR(NOT(ISNUMBER(E110)),E110&lt;=0,I110=""),"",I110/E110))</x:f>
      </x:c>
      <x:c r="K110" s="23" t="str">
        <x:f>IF(A110="","",IF(OR(J110="",NOT(ISNUMBER(F110))),"",J110*F110))</x:f>
      </x:c>
      <x:c r="L110" s="23" t="str">
        <x:f>IF(A110="","",IF(OR(NOT(ISNUMBER(F110)),NOT(ISNUMBER(G110))),"",F110*G110))</x:f>
      </x:c>
      <x:c r="M110" s="11"/>
      <x:c r="N110" s="14"/>
      <x:c r="O110" s="11"/>
      <x:c r="P110" s="21" t="str">
        <x:f>IF(A110="","",IF(AND(COUNTIFS($A$7:$A$206,A110,$B$7:$B$206,B110)=1,B110=Setup!$B$4,D110&lt;&gt;"",ISNUMBER(E110),E110&gt;0,ISNUMBER(F110),F110&gt;=0,F110&lt;=1,ISNUMBER(G110),G110&gt;=0,G110&lt;=1,O110&lt;&gt;""),"Valid","Review baseline / ID / weight"))</x:f>
      </x:c>
    </x:row>
    <x:row r="111" ht="60" customHeight="1">
      <x:c r="A111" s="11"/>
      <x:c r="B111" s="11"/>
      <x:c r="C111" s="11"/>
      <x:c r="D111" s="11"/>
      <x:c r="E111" s="12"/>
      <x:c r="F111" s="13"/>
      <x:c r="G111" s="13"/>
      <x:c r="H111" s="21" t="str">
        <x:f>IF(A111="","",COUNTIFS(Daily!$C$7:$C$206,A111,Daily!$B$7:$B$206,B111,Daily!$I$7:$I$206,"Accepted",Daily!$P$7:$P$206,"Recorded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1" s="22" t="str">
        <x:f>IF(A111="","",IF(H111=0,"",SUMIFS(Daily!$H$7:$H$206,Daily!$C$7:$C$206,A111,Daily!$B$7:$B$206,B111,Daily!$I$7:$I$206,"Accepted",Daily!$P$7:$P$206,"Recorded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1" s="23" t="str">
        <x:f>IF(A111="","",IF(OR(NOT(ISNUMBER(E111)),E111&lt;=0,I111=""),"",I111/E111))</x:f>
      </x:c>
      <x:c r="K111" s="23" t="str">
        <x:f>IF(A111="","",IF(OR(J111="",NOT(ISNUMBER(F111))),"",J111*F111))</x:f>
      </x:c>
      <x:c r="L111" s="23" t="str">
        <x:f>IF(A111="","",IF(OR(NOT(ISNUMBER(F111)),NOT(ISNUMBER(G111))),"",F111*G111))</x:f>
      </x:c>
      <x:c r="M111" s="11"/>
      <x:c r="N111" s="14"/>
      <x:c r="O111" s="11"/>
      <x:c r="P111" s="21" t="str">
        <x:f>IF(A111="","",IF(AND(COUNTIFS($A$7:$A$206,A111,$B$7:$B$206,B111)=1,B111=Setup!$B$4,D111&lt;&gt;"",ISNUMBER(E111),E111&gt;0,ISNUMBER(F111),F111&gt;=0,F111&lt;=1,ISNUMBER(G111),G111&gt;=0,G111&lt;=1,O111&lt;&gt;""),"Valid","Review baseline / ID / weight"))</x:f>
      </x:c>
    </x:row>
    <x:row r="112" ht="60" customHeight="1">
      <x:c r="A112" s="11"/>
      <x:c r="B112" s="11"/>
      <x:c r="C112" s="11"/>
      <x:c r="D112" s="11"/>
      <x:c r="E112" s="12"/>
      <x:c r="F112" s="13"/>
      <x:c r="G112" s="13"/>
      <x:c r="H112" s="21" t="str">
        <x:f>IF(A112="","",COUNTIFS(Daily!$C$7:$C$206,A112,Daily!$B$7:$B$206,B112,Daily!$I$7:$I$206,"Accepted",Daily!$P$7:$P$206,"Recorded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2" s="22" t="str">
        <x:f>IF(A112="","",IF(H112=0,"",SUMIFS(Daily!$H$7:$H$206,Daily!$C$7:$C$206,A112,Daily!$B$7:$B$206,B112,Daily!$I$7:$I$206,"Accepted",Daily!$P$7:$P$206,"Recorded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2" s="23" t="str">
        <x:f>IF(A112="","",IF(OR(NOT(ISNUMBER(E112)),E112&lt;=0,I112=""),"",I112/E112))</x:f>
      </x:c>
      <x:c r="K112" s="23" t="str">
        <x:f>IF(A112="","",IF(OR(J112="",NOT(ISNUMBER(F112))),"",J112*F112))</x:f>
      </x:c>
      <x:c r="L112" s="23" t="str">
        <x:f>IF(A112="","",IF(OR(NOT(ISNUMBER(F112)),NOT(ISNUMBER(G112))),"",F112*G112))</x:f>
      </x:c>
      <x:c r="M112" s="11"/>
      <x:c r="N112" s="14"/>
      <x:c r="O112" s="11"/>
      <x:c r="P112" s="21" t="str">
        <x:f>IF(A112="","",IF(AND(COUNTIFS($A$7:$A$206,A112,$B$7:$B$206,B112)=1,B112=Setup!$B$4,D112&lt;&gt;"",ISNUMBER(E112),E112&gt;0,ISNUMBER(F112),F112&gt;=0,F112&lt;=1,ISNUMBER(G112),G112&gt;=0,G112&lt;=1,O112&lt;&gt;""),"Valid","Review baseline / ID / weight"))</x:f>
      </x:c>
    </x:row>
    <x:row r="113" ht="60" customHeight="1">
      <x:c r="A113" s="11"/>
      <x:c r="B113" s="11"/>
      <x:c r="C113" s="11"/>
      <x:c r="D113" s="11"/>
      <x:c r="E113" s="12"/>
      <x:c r="F113" s="13"/>
      <x:c r="G113" s="13"/>
      <x:c r="H113" s="21" t="str">
        <x:f>IF(A113="","",COUNTIFS(Daily!$C$7:$C$206,A113,Daily!$B$7:$B$206,B113,Daily!$I$7:$I$206,"Accepted",Daily!$P$7:$P$206,"Recorded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3" s="22" t="str">
        <x:f>IF(A113="","",IF(H113=0,"",SUMIFS(Daily!$H$7:$H$206,Daily!$C$7:$C$206,A113,Daily!$B$7:$B$206,B113,Daily!$I$7:$I$206,"Accepted",Daily!$P$7:$P$206,"Recorded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3" s="23" t="str">
        <x:f>IF(A113="","",IF(OR(NOT(ISNUMBER(E113)),E113&lt;=0,I113=""),"",I113/E113))</x:f>
      </x:c>
      <x:c r="K113" s="23" t="str">
        <x:f>IF(A113="","",IF(OR(J113="",NOT(ISNUMBER(F113))),"",J113*F113))</x:f>
      </x:c>
      <x:c r="L113" s="23" t="str">
        <x:f>IF(A113="","",IF(OR(NOT(ISNUMBER(F113)),NOT(ISNUMBER(G113))),"",F113*G113))</x:f>
      </x:c>
      <x:c r="M113" s="11"/>
      <x:c r="N113" s="14"/>
      <x:c r="O113" s="11"/>
      <x:c r="P113" s="21" t="str">
        <x:f>IF(A113="","",IF(AND(COUNTIFS($A$7:$A$206,A113,$B$7:$B$206,B113)=1,B113=Setup!$B$4,D113&lt;&gt;"",ISNUMBER(E113),E113&gt;0,ISNUMBER(F113),F113&gt;=0,F113&lt;=1,ISNUMBER(G113),G113&gt;=0,G113&lt;=1,O113&lt;&gt;""),"Valid","Review baseline / ID / weight"))</x:f>
      </x:c>
    </x:row>
    <x:row r="114" ht="60" customHeight="1">
      <x:c r="A114" s="11"/>
      <x:c r="B114" s="11"/>
      <x:c r="C114" s="11"/>
      <x:c r="D114" s="11"/>
      <x:c r="E114" s="12"/>
      <x:c r="F114" s="13"/>
      <x:c r="G114" s="13"/>
      <x:c r="H114" s="21" t="str">
        <x:f>IF(A114="","",COUNTIFS(Daily!$C$7:$C$206,A114,Daily!$B$7:$B$206,B114,Daily!$I$7:$I$206,"Accepted",Daily!$P$7:$P$206,"Recorded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4" s="22" t="str">
        <x:f>IF(A114="","",IF(H114=0,"",SUMIFS(Daily!$H$7:$H$206,Daily!$C$7:$C$206,A114,Daily!$B$7:$B$206,B114,Daily!$I$7:$I$206,"Accepted",Daily!$P$7:$P$206,"Recorded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4" s="23" t="str">
        <x:f>IF(A114="","",IF(OR(NOT(ISNUMBER(E114)),E114&lt;=0,I114=""),"",I114/E114))</x:f>
      </x:c>
      <x:c r="K114" s="23" t="str">
        <x:f>IF(A114="","",IF(OR(J114="",NOT(ISNUMBER(F114))),"",J114*F114))</x:f>
      </x:c>
      <x:c r="L114" s="23" t="str">
        <x:f>IF(A114="","",IF(OR(NOT(ISNUMBER(F114)),NOT(ISNUMBER(G114))),"",F114*G114))</x:f>
      </x:c>
      <x:c r="M114" s="11"/>
      <x:c r="N114" s="14"/>
      <x:c r="O114" s="11"/>
      <x:c r="P114" s="21" t="str">
        <x:f>IF(A114="","",IF(AND(COUNTIFS($A$7:$A$206,A114,$B$7:$B$206,B114)=1,B114=Setup!$B$4,D114&lt;&gt;"",ISNUMBER(E114),E114&gt;0,ISNUMBER(F114),F114&gt;=0,F114&lt;=1,ISNUMBER(G114),G114&gt;=0,G114&lt;=1,O114&lt;&gt;""),"Valid","Review baseline / ID / weight"))</x:f>
      </x:c>
    </x:row>
    <x:row r="115" ht="60" customHeight="1">
      <x:c r="A115" s="11"/>
      <x:c r="B115" s="11"/>
      <x:c r="C115" s="11"/>
      <x:c r="D115" s="11"/>
      <x:c r="E115" s="12"/>
      <x:c r="F115" s="13"/>
      <x:c r="G115" s="13"/>
      <x:c r="H115" s="21" t="str">
        <x:f>IF(A115="","",COUNTIFS(Daily!$C$7:$C$206,A115,Daily!$B$7:$B$206,B115,Daily!$I$7:$I$206,"Accepted",Daily!$P$7:$P$206,"Recorded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5" s="22" t="str">
        <x:f>IF(A115="","",IF(H115=0,"",SUMIFS(Daily!$H$7:$H$206,Daily!$C$7:$C$206,A115,Daily!$B$7:$B$206,B115,Daily!$I$7:$I$206,"Accepted",Daily!$P$7:$P$206,"Recorded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5" s="23" t="str">
        <x:f>IF(A115="","",IF(OR(NOT(ISNUMBER(E115)),E115&lt;=0,I115=""),"",I115/E115))</x:f>
      </x:c>
      <x:c r="K115" s="23" t="str">
        <x:f>IF(A115="","",IF(OR(J115="",NOT(ISNUMBER(F115))),"",J115*F115))</x:f>
      </x:c>
      <x:c r="L115" s="23" t="str">
        <x:f>IF(A115="","",IF(OR(NOT(ISNUMBER(F115)),NOT(ISNUMBER(G115))),"",F115*G115))</x:f>
      </x:c>
      <x:c r="M115" s="11"/>
      <x:c r="N115" s="14"/>
      <x:c r="O115" s="11"/>
      <x:c r="P115" s="21" t="str">
        <x:f>IF(A115="","",IF(AND(COUNTIFS($A$7:$A$206,A115,$B$7:$B$206,B115)=1,B115=Setup!$B$4,D115&lt;&gt;"",ISNUMBER(E115),E115&gt;0,ISNUMBER(F115),F115&gt;=0,F115&lt;=1,ISNUMBER(G115),G115&gt;=0,G115&lt;=1,O115&lt;&gt;""),"Valid","Review baseline / ID / weight"))</x:f>
      </x:c>
    </x:row>
    <x:row r="116" ht="60" customHeight="1">
      <x:c r="A116" s="11"/>
      <x:c r="B116" s="11"/>
      <x:c r="C116" s="11"/>
      <x:c r="D116" s="11"/>
      <x:c r="E116" s="12"/>
      <x:c r="F116" s="13"/>
      <x:c r="G116" s="13"/>
      <x:c r="H116" s="21" t="str">
        <x:f>IF(A116="","",COUNTIFS(Daily!$C$7:$C$206,A116,Daily!$B$7:$B$206,B116,Daily!$I$7:$I$206,"Accepted",Daily!$P$7:$P$206,"Recorded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6" s="22" t="str">
        <x:f>IF(A116="","",IF(H116=0,"",SUMIFS(Daily!$H$7:$H$206,Daily!$C$7:$C$206,A116,Daily!$B$7:$B$206,B116,Daily!$I$7:$I$206,"Accepted",Daily!$P$7:$P$206,"Recorded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6" s="23" t="str">
        <x:f>IF(A116="","",IF(OR(NOT(ISNUMBER(E116)),E116&lt;=0,I116=""),"",I116/E116))</x:f>
      </x:c>
      <x:c r="K116" s="23" t="str">
        <x:f>IF(A116="","",IF(OR(J116="",NOT(ISNUMBER(F116))),"",J116*F116))</x:f>
      </x:c>
      <x:c r="L116" s="23" t="str">
        <x:f>IF(A116="","",IF(OR(NOT(ISNUMBER(F116)),NOT(ISNUMBER(G116))),"",F116*G116))</x:f>
      </x:c>
      <x:c r="M116" s="11"/>
      <x:c r="N116" s="14"/>
      <x:c r="O116" s="11"/>
      <x:c r="P116" s="21" t="str">
        <x:f>IF(A116="","",IF(AND(COUNTIFS($A$7:$A$206,A116,$B$7:$B$206,B116)=1,B116=Setup!$B$4,D116&lt;&gt;"",ISNUMBER(E116),E116&gt;0,ISNUMBER(F116),F116&gt;=0,F116&lt;=1,ISNUMBER(G116),G116&gt;=0,G116&lt;=1,O116&lt;&gt;""),"Valid","Review baseline / ID / weight"))</x:f>
      </x:c>
    </x:row>
    <x:row r="117" ht="60" customHeight="1">
      <x:c r="A117" s="11"/>
      <x:c r="B117" s="11"/>
      <x:c r="C117" s="11"/>
      <x:c r="D117" s="11"/>
      <x:c r="E117" s="12"/>
      <x:c r="F117" s="13"/>
      <x:c r="G117" s="13"/>
      <x:c r="H117" s="21" t="str">
        <x:f>IF(A117="","",COUNTIFS(Daily!$C$7:$C$206,A117,Daily!$B$7:$B$206,B117,Daily!$I$7:$I$206,"Accepted",Daily!$P$7:$P$206,"Recorded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7" s="22" t="str">
        <x:f>IF(A117="","",IF(H117=0,"",SUMIFS(Daily!$H$7:$H$206,Daily!$C$7:$C$206,A117,Daily!$B$7:$B$206,B117,Daily!$I$7:$I$206,"Accepted",Daily!$P$7:$P$206,"Recorded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7" s="23" t="str">
        <x:f>IF(A117="","",IF(OR(NOT(ISNUMBER(E117)),E117&lt;=0,I117=""),"",I117/E117))</x:f>
      </x:c>
      <x:c r="K117" s="23" t="str">
        <x:f>IF(A117="","",IF(OR(J117="",NOT(ISNUMBER(F117))),"",J117*F117))</x:f>
      </x:c>
      <x:c r="L117" s="23" t="str">
        <x:f>IF(A117="","",IF(OR(NOT(ISNUMBER(F117)),NOT(ISNUMBER(G117))),"",F117*G117))</x:f>
      </x:c>
      <x:c r="M117" s="11"/>
      <x:c r="N117" s="14"/>
      <x:c r="O117" s="11"/>
      <x:c r="P117" s="21" t="str">
        <x:f>IF(A117="","",IF(AND(COUNTIFS($A$7:$A$206,A117,$B$7:$B$206,B117)=1,B117=Setup!$B$4,D117&lt;&gt;"",ISNUMBER(E117),E117&gt;0,ISNUMBER(F117),F117&gt;=0,F117&lt;=1,ISNUMBER(G117),G117&gt;=0,G117&lt;=1,O117&lt;&gt;""),"Valid","Review baseline / ID / weight"))</x:f>
      </x:c>
    </x:row>
    <x:row r="118" ht="60" customHeight="1">
      <x:c r="A118" s="11"/>
      <x:c r="B118" s="11"/>
      <x:c r="C118" s="11"/>
      <x:c r="D118" s="11"/>
      <x:c r="E118" s="12"/>
      <x:c r="F118" s="13"/>
      <x:c r="G118" s="13"/>
      <x:c r="H118" s="21" t="str">
        <x:f>IF(A118="","",COUNTIFS(Daily!$C$7:$C$206,A118,Daily!$B$7:$B$206,B118,Daily!$I$7:$I$206,"Accepted",Daily!$P$7:$P$206,"Recorded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8" s="22" t="str">
        <x:f>IF(A118="","",IF(H118=0,"",SUMIFS(Daily!$H$7:$H$206,Daily!$C$7:$C$206,A118,Daily!$B$7:$B$206,B118,Daily!$I$7:$I$206,"Accepted",Daily!$P$7:$P$206,"Recorded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8" s="23" t="str">
        <x:f>IF(A118="","",IF(OR(NOT(ISNUMBER(E118)),E118&lt;=0,I118=""),"",I118/E118))</x:f>
      </x:c>
      <x:c r="K118" s="23" t="str">
        <x:f>IF(A118="","",IF(OR(J118="",NOT(ISNUMBER(F118))),"",J118*F118))</x:f>
      </x:c>
      <x:c r="L118" s="23" t="str">
        <x:f>IF(A118="","",IF(OR(NOT(ISNUMBER(F118)),NOT(ISNUMBER(G118))),"",F118*G118))</x:f>
      </x:c>
      <x:c r="M118" s="11"/>
      <x:c r="N118" s="14"/>
      <x:c r="O118" s="11"/>
      <x:c r="P118" s="21" t="str">
        <x:f>IF(A118="","",IF(AND(COUNTIFS($A$7:$A$206,A118,$B$7:$B$206,B118)=1,B118=Setup!$B$4,D118&lt;&gt;"",ISNUMBER(E118),E118&gt;0,ISNUMBER(F118),F118&gt;=0,F118&lt;=1,ISNUMBER(G118),G118&gt;=0,G118&lt;=1,O118&lt;&gt;""),"Valid","Review baseline / ID / weight"))</x:f>
      </x:c>
    </x:row>
    <x:row r="119" ht="60" customHeight="1">
      <x:c r="A119" s="11"/>
      <x:c r="B119" s="11"/>
      <x:c r="C119" s="11"/>
      <x:c r="D119" s="11"/>
      <x:c r="E119" s="12"/>
      <x:c r="F119" s="13"/>
      <x:c r="G119" s="13"/>
      <x:c r="H119" s="21" t="str">
        <x:f>IF(A119="","",COUNTIFS(Daily!$C$7:$C$206,A119,Daily!$B$7:$B$206,B119,Daily!$I$7:$I$206,"Accepted",Daily!$P$7:$P$206,"Recorded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9" s="22" t="str">
        <x:f>IF(A119="","",IF(H119=0,"",SUMIFS(Daily!$H$7:$H$206,Daily!$C$7:$C$206,A119,Daily!$B$7:$B$206,B119,Daily!$I$7:$I$206,"Accepted",Daily!$P$7:$P$206,"Recorded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9" s="23" t="str">
        <x:f>IF(A119="","",IF(OR(NOT(ISNUMBER(E119)),E119&lt;=0,I119=""),"",I119/E119))</x:f>
      </x:c>
      <x:c r="K119" s="23" t="str">
        <x:f>IF(A119="","",IF(OR(J119="",NOT(ISNUMBER(F119))),"",J119*F119))</x:f>
      </x:c>
      <x:c r="L119" s="23" t="str">
        <x:f>IF(A119="","",IF(OR(NOT(ISNUMBER(F119)),NOT(ISNUMBER(G119))),"",F119*G119))</x:f>
      </x:c>
      <x:c r="M119" s="11"/>
      <x:c r="N119" s="14"/>
      <x:c r="O119" s="11"/>
      <x:c r="P119" s="21" t="str">
        <x:f>IF(A119="","",IF(AND(COUNTIFS($A$7:$A$206,A119,$B$7:$B$206,B119)=1,B119=Setup!$B$4,D119&lt;&gt;"",ISNUMBER(E119),E119&gt;0,ISNUMBER(F119),F119&gt;=0,F119&lt;=1,ISNUMBER(G119),G119&gt;=0,G119&lt;=1,O119&lt;&gt;""),"Valid","Review baseline / ID / weight"))</x:f>
      </x:c>
    </x:row>
    <x:row r="120" ht="60" customHeight="1">
      <x:c r="A120" s="11"/>
      <x:c r="B120" s="11"/>
      <x:c r="C120" s="11"/>
      <x:c r="D120" s="11"/>
      <x:c r="E120" s="12"/>
      <x:c r="F120" s="13"/>
      <x:c r="G120" s="13"/>
      <x:c r="H120" s="21" t="str">
        <x:f>IF(A120="","",COUNTIFS(Daily!$C$7:$C$206,A120,Daily!$B$7:$B$206,B120,Daily!$I$7:$I$206,"Accepted",Daily!$P$7:$P$206,"Recorded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0" s="22" t="str">
        <x:f>IF(A120="","",IF(H120=0,"",SUMIFS(Daily!$H$7:$H$206,Daily!$C$7:$C$206,A120,Daily!$B$7:$B$206,B120,Daily!$I$7:$I$206,"Accepted",Daily!$P$7:$P$206,"Recorded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0" s="23" t="str">
        <x:f>IF(A120="","",IF(OR(NOT(ISNUMBER(E120)),E120&lt;=0,I120=""),"",I120/E120))</x:f>
      </x:c>
      <x:c r="K120" s="23" t="str">
        <x:f>IF(A120="","",IF(OR(J120="",NOT(ISNUMBER(F120))),"",J120*F120))</x:f>
      </x:c>
      <x:c r="L120" s="23" t="str">
        <x:f>IF(A120="","",IF(OR(NOT(ISNUMBER(F120)),NOT(ISNUMBER(G120))),"",F120*G120))</x:f>
      </x:c>
      <x:c r="M120" s="11"/>
      <x:c r="N120" s="14"/>
      <x:c r="O120" s="11"/>
      <x:c r="P120" s="21" t="str">
        <x:f>IF(A120="","",IF(AND(COUNTIFS($A$7:$A$206,A120,$B$7:$B$206,B120)=1,B120=Setup!$B$4,D120&lt;&gt;"",ISNUMBER(E120),E120&gt;0,ISNUMBER(F120),F120&gt;=0,F120&lt;=1,ISNUMBER(G120),G120&gt;=0,G120&lt;=1,O120&lt;&gt;""),"Valid","Review baseline / ID / weight"))</x:f>
      </x:c>
    </x:row>
    <x:row r="121" ht="60" customHeight="1">
      <x:c r="A121" s="11"/>
      <x:c r="B121" s="11"/>
      <x:c r="C121" s="11"/>
      <x:c r="D121" s="11"/>
      <x:c r="E121" s="12"/>
      <x:c r="F121" s="13"/>
      <x:c r="G121" s="13"/>
      <x:c r="H121" s="21" t="str">
        <x:f>IF(A121="","",COUNTIFS(Daily!$C$7:$C$206,A121,Daily!$B$7:$B$206,B121,Daily!$I$7:$I$206,"Accepted",Daily!$P$7:$P$206,"Recorded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1" s="22" t="str">
        <x:f>IF(A121="","",IF(H121=0,"",SUMIFS(Daily!$H$7:$H$206,Daily!$C$7:$C$206,A121,Daily!$B$7:$B$206,B121,Daily!$I$7:$I$206,"Accepted",Daily!$P$7:$P$206,"Recorded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1" s="23" t="str">
        <x:f>IF(A121="","",IF(OR(NOT(ISNUMBER(E121)),E121&lt;=0,I121=""),"",I121/E121))</x:f>
      </x:c>
      <x:c r="K121" s="23" t="str">
        <x:f>IF(A121="","",IF(OR(J121="",NOT(ISNUMBER(F121))),"",J121*F121))</x:f>
      </x:c>
      <x:c r="L121" s="23" t="str">
        <x:f>IF(A121="","",IF(OR(NOT(ISNUMBER(F121)),NOT(ISNUMBER(G121))),"",F121*G121))</x:f>
      </x:c>
      <x:c r="M121" s="11"/>
      <x:c r="N121" s="14"/>
      <x:c r="O121" s="11"/>
      <x:c r="P121" s="21" t="str">
        <x:f>IF(A121="","",IF(AND(COUNTIFS($A$7:$A$206,A121,$B$7:$B$206,B121)=1,B121=Setup!$B$4,D121&lt;&gt;"",ISNUMBER(E121),E121&gt;0,ISNUMBER(F121),F121&gt;=0,F121&lt;=1,ISNUMBER(G121),G121&gt;=0,G121&lt;=1,O121&lt;&gt;""),"Valid","Review baseline / ID / weight"))</x:f>
      </x:c>
    </x:row>
    <x:row r="122" ht="60" customHeight="1">
      <x:c r="A122" s="11"/>
      <x:c r="B122" s="11"/>
      <x:c r="C122" s="11"/>
      <x:c r="D122" s="11"/>
      <x:c r="E122" s="12"/>
      <x:c r="F122" s="13"/>
      <x:c r="G122" s="13"/>
      <x:c r="H122" s="21" t="str">
        <x:f>IF(A122="","",COUNTIFS(Daily!$C$7:$C$206,A122,Daily!$B$7:$B$206,B122,Daily!$I$7:$I$206,"Accepted",Daily!$P$7:$P$206,"Recorded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2" s="22" t="str">
        <x:f>IF(A122="","",IF(H122=0,"",SUMIFS(Daily!$H$7:$H$206,Daily!$C$7:$C$206,A122,Daily!$B$7:$B$206,B122,Daily!$I$7:$I$206,"Accepted",Daily!$P$7:$P$206,"Recorded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2" s="23" t="str">
        <x:f>IF(A122="","",IF(OR(NOT(ISNUMBER(E122)),E122&lt;=0,I122=""),"",I122/E122))</x:f>
      </x:c>
      <x:c r="K122" s="23" t="str">
        <x:f>IF(A122="","",IF(OR(J122="",NOT(ISNUMBER(F122))),"",J122*F122))</x:f>
      </x:c>
      <x:c r="L122" s="23" t="str">
        <x:f>IF(A122="","",IF(OR(NOT(ISNUMBER(F122)),NOT(ISNUMBER(G122))),"",F122*G122))</x:f>
      </x:c>
      <x:c r="M122" s="11"/>
      <x:c r="N122" s="14"/>
      <x:c r="O122" s="11"/>
      <x:c r="P122" s="21" t="str">
        <x:f>IF(A122="","",IF(AND(COUNTIFS($A$7:$A$206,A122,$B$7:$B$206,B122)=1,B122=Setup!$B$4,D122&lt;&gt;"",ISNUMBER(E122),E122&gt;0,ISNUMBER(F122),F122&gt;=0,F122&lt;=1,ISNUMBER(G122),G122&gt;=0,G122&lt;=1,O122&lt;&gt;""),"Valid","Review baseline / ID / weight"))</x:f>
      </x:c>
    </x:row>
    <x:row r="123" ht="60" customHeight="1">
      <x:c r="A123" s="11"/>
      <x:c r="B123" s="11"/>
      <x:c r="C123" s="11"/>
      <x:c r="D123" s="11"/>
      <x:c r="E123" s="12"/>
      <x:c r="F123" s="13"/>
      <x:c r="G123" s="13"/>
      <x:c r="H123" s="21" t="str">
        <x:f>IF(A123="","",COUNTIFS(Daily!$C$7:$C$206,A123,Daily!$B$7:$B$206,B123,Daily!$I$7:$I$206,"Accepted",Daily!$P$7:$P$206,"Recorded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3" s="22" t="str">
        <x:f>IF(A123="","",IF(H123=0,"",SUMIFS(Daily!$H$7:$H$206,Daily!$C$7:$C$206,A123,Daily!$B$7:$B$206,B123,Daily!$I$7:$I$206,"Accepted",Daily!$P$7:$P$206,"Recorded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3" s="23" t="str">
        <x:f>IF(A123="","",IF(OR(NOT(ISNUMBER(E123)),E123&lt;=0,I123=""),"",I123/E123))</x:f>
      </x:c>
      <x:c r="K123" s="23" t="str">
        <x:f>IF(A123="","",IF(OR(J123="",NOT(ISNUMBER(F123))),"",J123*F123))</x:f>
      </x:c>
      <x:c r="L123" s="23" t="str">
        <x:f>IF(A123="","",IF(OR(NOT(ISNUMBER(F123)),NOT(ISNUMBER(G123))),"",F123*G123))</x:f>
      </x:c>
      <x:c r="M123" s="11"/>
      <x:c r="N123" s="14"/>
      <x:c r="O123" s="11"/>
      <x:c r="P123" s="21" t="str">
        <x:f>IF(A123="","",IF(AND(COUNTIFS($A$7:$A$206,A123,$B$7:$B$206,B123)=1,B123=Setup!$B$4,D123&lt;&gt;"",ISNUMBER(E123),E123&gt;0,ISNUMBER(F123),F123&gt;=0,F123&lt;=1,ISNUMBER(G123),G123&gt;=0,G123&lt;=1,O123&lt;&gt;""),"Valid","Review baseline / ID / weight"))</x:f>
      </x:c>
    </x:row>
    <x:row r="124" ht="60" customHeight="1">
      <x:c r="A124" s="11"/>
      <x:c r="B124" s="11"/>
      <x:c r="C124" s="11"/>
      <x:c r="D124" s="11"/>
      <x:c r="E124" s="12"/>
      <x:c r="F124" s="13"/>
      <x:c r="G124" s="13"/>
      <x:c r="H124" s="21" t="str">
        <x:f>IF(A124="","",COUNTIFS(Daily!$C$7:$C$206,A124,Daily!$B$7:$B$206,B124,Daily!$I$7:$I$206,"Accepted",Daily!$P$7:$P$206,"Recorded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4" s="22" t="str">
        <x:f>IF(A124="","",IF(H124=0,"",SUMIFS(Daily!$H$7:$H$206,Daily!$C$7:$C$206,A124,Daily!$B$7:$B$206,B124,Daily!$I$7:$I$206,"Accepted",Daily!$P$7:$P$206,"Recorded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4" s="23" t="str">
        <x:f>IF(A124="","",IF(OR(NOT(ISNUMBER(E124)),E124&lt;=0,I124=""),"",I124/E124))</x:f>
      </x:c>
      <x:c r="K124" s="23" t="str">
        <x:f>IF(A124="","",IF(OR(J124="",NOT(ISNUMBER(F124))),"",J124*F124))</x:f>
      </x:c>
      <x:c r="L124" s="23" t="str">
        <x:f>IF(A124="","",IF(OR(NOT(ISNUMBER(F124)),NOT(ISNUMBER(G124))),"",F124*G124))</x:f>
      </x:c>
      <x:c r="M124" s="11"/>
      <x:c r="N124" s="14"/>
      <x:c r="O124" s="11"/>
      <x:c r="P124" s="21" t="str">
        <x:f>IF(A124="","",IF(AND(COUNTIFS($A$7:$A$206,A124,$B$7:$B$206,B124)=1,B124=Setup!$B$4,D124&lt;&gt;"",ISNUMBER(E124),E124&gt;0,ISNUMBER(F124),F124&gt;=0,F124&lt;=1,ISNUMBER(G124),G124&gt;=0,G124&lt;=1,O124&lt;&gt;""),"Valid","Review baseline / ID / weight"))</x:f>
      </x:c>
    </x:row>
    <x:row r="125" ht="60" customHeight="1">
      <x:c r="A125" s="11"/>
      <x:c r="B125" s="11"/>
      <x:c r="C125" s="11"/>
      <x:c r="D125" s="11"/>
      <x:c r="E125" s="12"/>
      <x:c r="F125" s="13"/>
      <x:c r="G125" s="13"/>
      <x:c r="H125" s="21" t="str">
        <x:f>IF(A125="","",COUNTIFS(Daily!$C$7:$C$206,A125,Daily!$B$7:$B$206,B125,Daily!$I$7:$I$206,"Accepted",Daily!$P$7:$P$206,"Recorded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5" s="22" t="str">
        <x:f>IF(A125="","",IF(H125=0,"",SUMIFS(Daily!$H$7:$H$206,Daily!$C$7:$C$206,A125,Daily!$B$7:$B$206,B125,Daily!$I$7:$I$206,"Accepted",Daily!$P$7:$P$206,"Recorded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5" s="23" t="str">
        <x:f>IF(A125="","",IF(OR(NOT(ISNUMBER(E125)),E125&lt;=0,I125=""),"",I125/E125))</x:f>
      </x:c>
      <x:c r="K125" s="23" t="str">
        <x:f>IF(A125="","",IF(OR(J125="",NOT(ISNUMBER(F125))),"",J125*F125))</x:f>
      </x:c>
      <x:c r="L125" s="23" t="str">
        <x:f>IF(A125="","",IF(OR(NOT(ISNUMBER(F125)),NOT(ISNUMBER(G125))),"",F125*G125))</x:f>
      </x:c>
      <x:c r="M125" s="11"/>
      <x:c r="N125" s="14"/>
      <x:c r="O125" s="11"/>
      <x:c r="P125" s="21" t="str">
        <x:f>IF(A125="","",IF(AND(COUNTIFS($A$7:$A$206,A125,$B$7:$B$206,B125)=1,B125=Setup!$B$4,D125&lt;&gt;"",ISNUMBER(E125),E125&gt;0,ISNUMBER(F125),F125&gt;=0,F125&lt;=1,ISNUMBER(G125),G125&gt;=0,G125&lt;=1,O125&lt;&gt;""),"Valid","Review baseline / ID / weight"))</x:f>
      </x:c>
    </x:row>
    <x:row r="126" ht="60" customHeight="1">
      <x:c r="A126" s="11"/>
      <x:c r="B126" s="11"/>
      <x:c r="C126" s="11"/>
      <x:c r="D126" s="11"/>
      <x:c r="E126" s="12"/>
      <x:c r="F126" s="13"/>
      <x:c r="G126" s="13"/>
      <x:c r="H126" s="21" t="str">
        <x:f>IF(A126="","",COUNTIFS(Daily!$C$7:$C$206,A126,Daily!$B$7:$B$206,B126,Daily!$I$7:$I$206,"Accepted",Daily!$P$7:$P$206,"Recorded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6" s="22" t="str">
        <x:f>IF(A126="","",IF(H126=0,"",SUMIFS(Daily!$H$7:$H$206,Daily!$C$7:$C$206,A126,Daily!$B$7:$B$206,B126,Daily!$I$7:$I$206,"Accepted",Daily!$P$7:$P$206,"Recorded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6" s="23" t="str">
        <x:f>IF(A126="","",IF(OR(NOT(ISNUMBER(E126)),E126&lt;=0,I126=""),"",I126/E126))</x:f>
      </x:c>
      <x:c r="K126" s="23" t="str">
        <x:f>IF(A126="","",IF(OR(J126="",NOT(ISNUMBER(F126))),"",J126*F126))</x:f>
      </x:c>
      <x:c r="L126" s="23" t="str">
        <x:f>IF(A126="","",IF(OR(NOT(ISNUMBER(F126)),NOT(ISNUMBER(G126))),"",F126*G126))</x:f>
      </x:c>
      <x:c r="M126" s="11"/>
      <x:c r="N126" s="14"/>
      <x:c r="O126" s="11"/>
      <x:c r="P126" s="21" t="str">
        <x:f>IF(A126="","",IF(AND(COUNTIFS($A$7:$A$206,A126,$B$7:$B$206,B126)=1,B126=Setup!$B$4,D126&lt;&gt;"",ISNUMBER(E126),E126&gt;0,ISNUMBER(F126),F126&gt;=0,F126&lt;=1,ISNUMBER(G126),G126&gt;=0,G126&lt;=1,O126&lt;&gt;""),"Valid","Review baseline / ID / weight"))</x:f>
      </x:c>
    </x:row>
    <x:row r="127" ht="60" customHeight="1">
      <x:c r="A127" s="11"/>
      <x:c r="B127" s="11"/>
      <x:c r="C127" s="11"/>
      <x:c r="D127" s="11"/>
      <x:c r="E127" s="12"/>
      <x:c r="F127" s="13"/>
      <x:c r="G127" s="13"/>
      <x:c r="H127" s="21" t="str">
        <x:f>IF(A127="","",COUNTIFS(Daily!$C$7:$C$206,A127,Daily!$B$7:$B$206,B127,Daily!$I$7:$I$206,"Accepted",Daily!$P$7:$P$206,"Recorded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7" s="22" t="str">
        <x:f>IF(A127="","",IF(H127=0,"",SUMIFS(Daily!$H$7:$H$206,Daily!$C$7:$C$206,A127,Daily!$B$7:$B$206,B127,Daily!$I$7:$I$206,"Accepted",Daily!$P$7:$P$206,"Recorded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7" s="23" t="str">
        <x:f>IF(A127="","",IF(OR(NOT(ISNUMBER(E127)),E127&lt;=0,I127=""),"",I127/E127))</x:f>
      </x:c>
      <x:c r="K127" s="23" t="str">
        <x:f>IF(A127="","",IF(OR(J127="",NOT(ISNUMBER(F127))),"",J127*F127))</x:f>
      </x:c>
      <x:c r="L127" s="23" t="str">
        <x:f>IF(A127="","",IF(OR(NOT(ISNUMBER(F127)),NOT(ISNUMBER(G127))),"",F127*G127))</x:f>
      </x:c>
      <x:c r="M127" s="11"/>
      <x:c r="N127" s="14"/>
      <x:c r="O127" s="11"/>
      <x:c r="P127" s="21" t="str">
        <x:f>IF(A127="","",IF(AND(COUNTIFS($A$7:$A$206,A127,$B$7:$B$206,B127)=1,B127=Setup!$B$4,D127&lt;&gt;"",ISNUMBER(E127),E127&gt;0,ISNUMBER(F127),F127&gt;=0,F127&lt;=1,ISNUMBER(G127),G127&gt;=0,G127&lt;=1,O127&lt;&gt;""),"Valid","Review baseline / ID / weight"))</x:f>
      </x:c>
    </x:row>
    <x:row r="128" ht="60" customHeight="1">
      <x:c r="A128" s="11"/>
      <x:c r="B128" s="11"/>
      <x:c r="C128" s="11"/>
      <x:c r="D128" s="11"/>
      <x:c r="E128" s="12"/>
      <x:c r="F128" s="13"/>
      <x:c r="G128" s="13"/>
      <x:c r="H128" s="21" t="str">
        <x:f>IF(A128="","",COUNTIFS(Daily!$C$7:$C$206,A128,Daily!$B$7:$B$206,B128,Daily!$I$7:$I$206,"Accepted",Daily!$P$7:$P$206,"Recorded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8" s="22" t="str">
        <x:f>IF(A128="","",IF(H128=0,"",SUMIFS(Daily!$H$7:$H$206,Daily!$C$7:$C$206,A128,Daily!$B$7:$B$206,B128,Daily!$I$7:$I$206,"Accepted",Daily!$P$7:$P$206,"Recorded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8" s="23" t="str">
        <x:f>IF(A128="","",IF(OR(NOT(ISNUMBER(E128)),E128&lt;=0,I128=""),"",I128/E128))</x:f>
      </x:c>
      <x:c r="K128" s="23" t="str">
        <x:f>IF(A128="","",IF(OR(J128="",NOT(ISNUMBER(F128))),"",J128*F128))</x:f>
      </x:c>
      <x:c r="L128" s="23" t="str">
        <x:f>IF(A128="","",IF(OR(NOT(ISNUMBER(F128)),NOT(ISNUMBER(G128))),"",F128*G128))</x:f>
      </x:c>
      <x:c r="M128" s="11"/>
      <x:c r="N128" s="14"/>
      <x:c r="O128" s="11"/>
      <x:c r="P128" s="21" t="str">
        <x:f>IF(A128="","",IF(AND(COUNTIFS($A$7:$A$206,A128,$B$7:$B$206,B128)=1,B128=Setup!$B$4,D128&lt;&gt;"",ISNUMBER(E128),E128&gt;0,ISNUMBER(F128),F128&gt;=0,F128&lt;=1,ISNUMBER(G128),G128&gt;=0,G128&lt;=1,O128&lt;&gt;""),"Valid","Review baseline / ID / weight"))</x:f>
      </x:c>
    </x:row>
    <x:row r="129" ht="60" customHeight="1">
      <x:c r="A129" s="11"/>
      <x:c r="B129" s="11"/>
      <x:c r="C129" s="11"/>
      <x:c r="D129" s="11"/>
      <x:c r="E129" s="12"/>
      <x:c r="F129" s="13"/>
      <x:c r="G129" s="13"/>
      <x:c r="H129" s="21" t="str">
        <x:f>IF(A129="","",COUNTIFS(Daily!$C$7:$C$206,A129,Daily!$B$7:$B$206,B129,Daily!$I$7:$I$206,"Accepted",Daily!$P$7:$P$206,"Recorded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9" s="22" t="str">
        <x:f>IF(A129="","",IF(H129=0,"",SUMIFS(Daily!$H$7:$H$206,Daily!$C$7:$C$206,A129,Daily!$B$7:$B$206,B129,Daily!$I$7:$I$206,"Accepted",Daily!$P$7:$P$206,"Recorded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9" s="23" t="str">
        <x:f>IF(A129="","",IF(OR(NOT(ISNUMBER(E129)),E129&lt;=0,I129=""),"",I129/E129))</x:f>
      </x:c>
      <x:c r="K129" s="23" t="str">
        <x:f>IF(A129="","",IF(OR(J129="",NOT(ISNUMBER(F129))),"",J129*F129))</x:f>
      </x:c>
      <x:c r="L129" s="23" t="str">
        <x:f>IF(A129="","",IF(OR(NOT(ISNUMBER(F129)),NOT(ISNUMBER(G129))),"",F129*G129))</x:f>
      </x:c>
      <x:c r="M129" s="11"/>
      <x:c r="N129" s="14"/>
      <x:c r="O129" s="11"/>
      <x:c r="P129" s="21" t="str">
        <x:f>IF(A129="","",IF(AND(COUNTIFS($A$7:$A$206,A129,$B$7:$B$206,B129)=1,B129=Setup!$B$4,D129&lt;&gt;"",ISNUMBER(E129),E129&gt;0,ISNUMBER(F129),F129&gt;=0,F129&lt;=1,ISNUMBER(G129),G129&gt;=0,G129&lt;=1,O129&lt;&gt;""),"Valid","Review baseline / ID / weight"))</x:f>
      </x:c>
    </x:row>
    <x:row r="130" ht="60" customHeight="1">
      <x:c r="A130" s="11"/>
      <x:c r="B130" s="11"/>
      <x:c r="C130" s="11"/>
      <x:c r="D130" s="11"/>
      <x:c r="E130" s="12"/>
      <x:c r="F130" s="13"/>
      <x:c r="G130" s="13"/>
      <x:c r="H130" s="21" t="str">
        <x:f>IF(A130="","",COUNTIFS(Daily!$C$7:$C$206,A130,Daily!$B$7:$B$206,B130,Daily!$I$7:$I$206,"Accepted",Daily!$P$7:$P$206,"Recorded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0" s="22" t="str">
        <x:f>IF(A130="","",IF(H130=0,"",SUMIFS(Daily!$H$7:$H$206,Daily!$C$7:$C$206,A130,Daily!$B$7:$B$206,B130,Daily!$I$7:$I$206,"Accepted",Daily!$P$7:$P$206,"Recorded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0" s="23" t="str">
        <x:f>IF(A130="","",IF(OR(NOT(ISNUMBER(E130)),E130&lt;=0,I130=""),"",I130/E130))</x:f>
      </x:c>
      <x:c r="K130" s="23" t="str">
        <x:f>IF(A130="","",IF(OR(J130="",NOT(ISNUMBER(F130))),"",J130*F130))</x:f>
      </x:c>
      <x:c r="L130" s="23" t="str">
        <x:f>IF(A130="","",IF(OR(NOT(ISNUMBER(F130)),NOT(ISNUMBER(G130))),"",F130*G130))</x:f>
      </x:c>
      <x:c r="M130" s="11"/>
      <x:c r="N130" s="14"/>
      <x:c r="O130" s="11"/>
      <x:c r="P130" s="21" t="str">
        <x:f>IF(A130="","",IF(AND(COUNTIFS($A$7:$A$206,A130,$B$7:$B$206,B130)=1,B130=Setup!$B$4,D130&lt;&gt;"",ISNUMBER(E130),E130&gt;0,ISNUMBER(F130),F130&gt;=0,F130&lt;=1,ISNUMBER(G130),G130&gt;=0,G130&lt;=1,O130&lt;&gt;""),"Valid","Review baseline / ID / weight"))</x:f>
      </x:c>
    </x:row>
    <x:row r="131" ht="60" customHeight="1">
      <x:c r="A131" s="11"/>
      <x:c r="B131" s="11"/>
      <x:c r="C131" s="11"/>
      <x:c r="D131" s="11"/>
      <x:c r="E131" s="12"/>
      <x:c r="F131" s="13"/>
      <x:c r="G131" s="13"/>
      <x:c r="H131" s="21" t="str">
        <x:f>IF(A131="","",COUNTIFS(Daily!$C$7:$C$206,A131,Daily!$B$7:$B$206,B131,Daily!$I$7:$I$206,"Accepted",Daily!$P$7:$P$206,"Recorded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1" s="22" t="str">
        <x:f>IF(A131="","",IF(H131=0,"",SUMIFS(Daily!$H$7:$H$206,Daily!$C$7:$C$206,A131,Daily!$B$7:$B$206,B131,Daily!$I$7:$I$206,"Accepted",Daily!$P$7:$P$206,"Recorded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1" s="23" t="str">
        <x:f>IF(A131="","",IF(OR(NOT(ISNUMBER(E131)),E131&lt;=0,I131=""),"",I131/E131))</x:f>
      </x:c>
      <x:c r="K131" s="23" t="str">
        <x:f>IF(A131="","",IF(OR(J131="",NOT(ISNUMBER(F131))),"",J131*F131))</x:f>
      </x:c>
      <x:c r="L131" s="23" t="str">
        <x:f>IF(A131="","",IF(OR(NOT(ISNUMBER(F131)),NOT(ISNUMBER(G131))),"",F131*G131))</x:f>
      </x:c>
      <x:c r="M131" s="11"/>
      <x:c r="N131" s="14"/>
      <x:c r="O131" s="11"/>
      <x:c r="P131" s="21" t="str">
        <x:f>IF(A131="","",IF(AND(COUNTIFS($A$7:$A$206,A131,$B$7:$B$206,B131)=1,B131=Setup!$B$4,D131&lt;&gt;"",ISNUMBER(E131),E131&gt;0,ISNUMBER(F131),F131&gt;=0,F131&lt;=1,ISNUMBER(G131),G131&gt;=0,G131&lt;=1,O131&lt;&gt;""),"Valid","Review baseline / ID / weight"))</x:f>
      </x:c>
    </x:row>
    <x:row r="132" ht="60" customHeight="1">
      <x:c r="A132" s="11"/>
      <x:c r="B132" s="11"/>
      <x:c r="C132" s="11"/>
      <x:c r="D132" s="11"/>
      <x:c r="E132" s="12"/>
      <x:c r="F132" s="13"/>
      <x:c r="G132" s="13"/>
      <x:c r="H132" s="21" t="str">
        <x:f>IF(A132="","",COUNTIFS(Daily!$C$7:$C$206,A132,Daily!$B$7:$B$206,B132,Daily!$I$7:$I$206,"Accepted",Daily!$P$7:$P$206,"Recorded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2" s="22" t="str">
        <x:f>IF(A132="","",IF(H132=0,"",SUMIFS(Daily!$H$7:$H$206,Daily!$C$7:$C$206,A132,Daily!$B$7:$B$206,B132,Daily!$I$7:$I$206,"Accepted",Daily!$P$7:$P$206,"Recorded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2" s="23" t="str">
        <x:f>IF(A132="","",IF(OR(NOT(ISNUMBER(E132)),E132&lt;=0,I132=""),"",I132/E132))</x:f>
      </x:c>
      <x:c r="K132" s="23" t="str">
        <x:f>IF(A132="","",IF(OR(J132="",NOT(ISNUMBER(F132))),"",J132*F132))</x:f>
      </x:c>
      <x:c r="L132" s="23" t="str">
        <x:f>IF(A132="","",IF(OR(NOT(ISNUMBER(F132)),NOT(ISNUMBER(G132))),"",F132*G132))</x:f>
      </x:c>
      <x:c r="M132" s="11"/>
      <x:c r="N132" s="14"/>
      <x:c r="O132" s="11"/>
      <x:c r="P132" s="21" t="str">
        <x:f>IF(A132="","",IF(AND(COUNTIFS($A$7:$A$206,A132,$B$7:$B$206,B132)=1,B132=Setup!$B$4,D132&lt;&gt;"",ISNUMBER(E132),E132&gt;0,ISNUMBER(F132),F132&gt;=0,F132&lt;=1,ISNUMBER(G132),G132&gt;=0,G132&lt;=1,O132&lt;&gt;""),"Valid","Review baseline / ID / weight"))</x:f>
      </x:c>
    </x:row>
    <x:row r="133" ht="60" customHeight="1">
      <x:c r="A133" s="11"/>
      <x:c r="B133" s="11"/>
      <x:c r="C133" s="11"/>
      <x:c r="D133" s="11"/>
      <x:c r="E133" s="12"/>
      <x:c r="F133" s="13"/>
      <x:c r="G133" s="13"/>
      <x:c r="H133" s="21" t="str">
        <x:f>IF(A133="","",COUNTIFS(Daily!$C$7:$C$206,A133,Daily!$B$7:$B$206,B133,Daily!$I$7:$I$206,"Accepted",Daily!$P$7:$P$206,"Recorded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3" s="22" t="str">
        <x:f>IF(A133="","",IF(H133=0,"",SUMIFS(Daily!$H$7:$H$206,Daily!$C$7:$C$206,A133,Daily!$B$7:$B$206,B133,Daily!$I$7:$I$206,"Accepted",Daily!$P$7:$P$206,"Recorded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3" s="23" t="str">
        <x:f>IF(A133="","",IF(OR(NOT(ISNUMBER(E133)),E133&lt;=0,I133=""),"",I133/E133))</x:f>
      </x:c>
      <x:c r="K133" s="23" t="str">
        <x:f>IF(A133="","",IF(OR(J133="",NOT(ISNUMBER(F133))),"",J133*F133))</x:f>
      </x:c>
      <x:c r="L133" s="23" t="str">
        <x:f>IF(A133="","",IF(OR(NOT(ISNUMBER(F133)),NOT(ISNUMBER(G133))),"",F133*G133))</x:f>
      </x:c>
      <x:c r="M133" s="11"/>
      <x:c r="N133" s="14"/>
      <x:c r="O133" s="11"/>
      <x:c r="P133" s="21" t="str">
        <x:f>IF(A133="","",IF(AND(COUNTIFS($A$7:$A$206,A133,$B$7:$B$206,B133)=1,B133=Setup!$B$4,D133&lt;&gt;"",ISNUMBER(E133),E133&gt;0,ISNUMBER(F133),F133&gt;=0,F133&lt;=1,ISNUMBER(G133),G133&gt;=0,G133&lt;=1,O133&lt;&gt;""),"Valid","Review baseline / ID / weight"))</x:f>
      </x:c>
    </x:row>
    <x:row r="134" ht="60" customHeight="1">
      <x:c r="A134" s="11"/>
      <x:c r="B134" s="11"/>
      <x:c r="C134" s="11"/>
      <x:c r="D134" s="11"/>
      <x:c r="E134" s="12"/>
      <x:c r="F134" s="13"/>
      <x:c r="G134" s="13"/>
      <x:c r="H134" s="21" t="str">
        <x:f>IF(A134="","",COUNTIFS(Daily!$C$7:$C$206,A134,Daily!$B$7:$B$206,B134,Daily!$I$7:$I$206,"Accepted",Daily!$P$7:$P$206,"Recorded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4" s="22" t="str">
        <x:f>IF(A134="","",IF(H134=0,"",SUMIFS(Daily!$H$7:$H$206,Daily!$C$7:$C$206,A134,Daily!$B$7:$B$206,B134,Daily!$I$7:$I$206,"Accepted",Daily!$P$7:$P$206,"Recorded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4" s="23" t="str">
        <x:f>IF(A134="","",IF(OR(NOT(ISNUMBER(E134)),E134&lt;=0,I134=""),"",I134/E134))</x:f>
      </x:c>
      <x:c r="K134" s="23" t="str">
        <x:f>IF(A134="","",IF(OR(J134="",NOT(ISNUMBER(F134))),"",J134*F134))</x:f>
      </x:c>
      <x:c r="L134" s="23" t="str">
        <x:f>IF(A134="","",IF(OR(NOT(ISNUMBER(F134)),NOT(ISNUMBER(G134))),"",F134*G134))</x:f>
      </x:c>
      <x:c r="M134" s="11"/>
      <x:c r="N134" s="14"/>
      <x:c r="O134" s="11"/>
      <x:c r="P134" s="21" t="str">
        <x:f>IF(A134="","",IF(AND(COUNTIFS($A$7:$A$206,A134,$B$7:$B$206,B134)=1,B134=Setup!$B$4,D134&lt;&gt;"",ISNUMBER(E134),E134&gt;0,ISNUMBER(F134),F134&gt;=0,F134&lt;=1,ISNUMBER(G134),G134&gt;=0,G134&lt;=1,O134&lt;&gt;""),"Valid","Review baseline / ID / weight"))</x:f>
      </x:c>
    </x:row>
    <x:row r="135" ht="60" customHeight="1">
      <x:c r="A135" s="11"/>
      <x:c r="B135" s="11"/>
      <x:c r="C135" s="11"/>
      <x:c r="D135" s="11"/>
      <x:c r="E135" s="12"/>
      <x:c r="F135" s="13"/>
      <x:c r="G135" s="13"/>
      <x:c r="H135" s="21" t="str">
        <x:f>IF(A135="","",COUNTIFS(Daily!$C$7:$C$206,A135,Daily!$B$7:$B$206,B135,Daily!$I$7:$I$206,"Accepted",Daily!$P$7:$P$206,"Recorded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5" s="22" t="str">
        <x:f>IF(A135="","",IF(H135=0,"",SUMIFS(Daily!$H$7:$H$206,Daily!$C$7:$C$206,A135,Daily!$B$7:$B$206,B135,Daily!$I$7:$I$206,"Accepted",Daily!$P$7:$P$206,"Recorded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5" s="23" t="str">
        <x:f>IF(A135="","",IF(OR(NOT(ISNUMBER(E135)),E135&lt;=0,I135=""),"",I135/E135))</x:f>
      </x:c>
      <x:c r="K135" s="23" t="str">
        <x:f>IF(A135="","",IF(OR(J135="",NOT(ISNUMBER(F135))),"",J135*F135))</x:f>
      </x:c>
      <x:c r="L135" s="23" t="str">
        <x:f>IF(A135="","",IF(OR(NOT(ISNUMBER(F135)),NOT(ISNUMBER(G135))),"",F135*G135))</x:f>
      </x:c>
      <x:c r="M135" s="11"/>
      <x:c r="N135" s="14"/>
      <x:c r="O135" s="11"/>
      <x:c r="P135" s="21" t="str">
        <x:f>IF(A135="","",IF(AND(COUNTIFS($A$7:$A$206,A135,$B$7:$B$206,B135)=1,B135=Setup!$B$4,D135&lt;&gt;"",ISNUMBER(E135),E135&gt;0,ISNUMBER(F135),F135&gt;=0,F135&lt;=1,ISNUMBER(G135),G135&gt;=0,G135&lt;=1,O135&lt;&gt;""),"Valid","Review baseline / ID / weight"))</x:f>
      </x:c>
    </x:row>
    <x:row r="136" ht="60" customHeight="1">
      <x:c r="A136" s="11"/>
      <x:c r="B136" s="11"/>
      <x:c r="C136" s="11"/>
      <x:c r="D136" s="11"/>
      <x:c r="E136" s="12"/>
      <x:c r="F136" s="13"/>
      <x:c r="G136" s="13"/>
      <x:c r="H136" s="21" t="str">
        <x:f>IF(A136="","",COUNTIFS(Daily!$C$7:$C$206,A136,Daily!$B$7:$B$206,B136,Daily!$I$7:$I$206,"Accepted",Daily!$P$7:$P$206,"Recorded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6" s="22" t="str">
        <x:f>IF(A136="","",IF(H136=0,"",SUMIFS(Daily!$H$7:$H$206,Daily!$C$7:$C$206,A136,Daily!$B$7:$B$206,B136,Daily!$I$7:$I$206,"Accepted",Daily!$P$7:$P$206,"Recorded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6" s="23" t="str">
        <x:f>IF(A136="","",IF(OR(NOT(ISNUMBER(E136)),E136&lt;=0,I136=""),"",I136/E136))</x:f>
      </x:c>
      <x:c r="K136" s="23" t="str">
        <x:f>IF(A136="","",IF(OR(J136="",NOT(ISNUMBER(F136))),"",J136*F136))</x:f>
      </x:c>
      <x:c r="L136" s="23" t="str">
        <x:f>IF(A136="","",IF(OR(NOT(ISNUMBER(F136)),NOT(ISNUMBER(G136))),"",F136*G136))</x:f>
      </x:c>
      <x:c r="M136" s="11"/>
      <x:c r="N136" s="14"/>
      <x:c r="O136" s="11"/>
      <x:c r="P136" s="21" t="str">
        <x:f>IF(A136="","",IF(AND(COUNTIFS($A$7:$A$206,A136,$B$7:$B$206,B136)=1,B136=Setup!$B$4,D136&lt;&gt;"",ISNUMBER(E136),E136&gt;0,ISNUMBER(F136),F136&gt;=0,F136&lt;=1,ISNUMBER(G136),G136&gt;=0,G136&lt;=1,O136&lt;&gt;""),"Valid","Review baseline / ID / weight"))</x:f>
      </x:c>
    </x:row>
    <x:row r="137" ht="60" customHeight="1">
      <x:c r="A137" s="11"/>
      <x:c r="B137" s="11"/>
      <x:c r="C137" s="11"/>
      <x:c r="D137" s="11"/>
      <x:c r="E137" s="12"/>
      <x:c r="F137" s="13"/>
      <x:c r="G137" s="13"/>
      <x:c r="H137" s="21" t="str">
        <x:f>IF(A137="","",COUNTIFS(Daily!$C$7:$C$206,A137,Daily!$B$7:$B$206,B137,Daily!$I$7:$I$206,"Accepted",Daily!$P$7:$P$206,"Recorded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7" s="22" t="str">
        <x:f>IF(A137="","",IF(H137=0,"",SUMIFS(Daily!$H$7:$H$206,Daily!$C$7:$C$206,A137,Daily!$B$7:$B$206,B137,Daily!$I$7:$I$206,"Accepted",Daily!$P$7:$P$206,"Recorded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7" s="23" t="str">
        <x:f>IF(A137="","",IF(OR(NOT(ISNUMBER(E137)),E137&lt;=0,I137=""),"",I137/E137))</x:f>
      </x:c>
      <x:c r="K137" s="23" t="str">
        <x:f>IF(A137="","",IF(OR(J137="",NOT(ISNUMBER(F137))),"",J137*F137))</x:f>
      </x:c>
      <x:c r="L137" s="23" t="str">
        <x:f>IF(A137="","",IF(OR(NOT(ISNUMBER(F137)),NOT(ISNUMBER(G137))),"",F137*G137))</x:f>
      </x:c>
      <x:c r="M137" s="11"/>
      <x:c r="N137" s="14"/>
      <x:c r="O137" s="11"/>
      <x:c r="P137" s="21" t="str">
        <x:f>IF(A137="","",IF(AND(COUNTIFS($A$7:$A$206,A137,$B$7:$B$206,B137)=1,B137=Setup!$B$4,D137&lt;&gt;"",ISNUMBER(E137),E137&gt;0,ISNUMBER(F137),F137&gt;=0,F137&lt;=1,ISNUMBER(G137),G137&gt;=0,G137&lt;=1,O137&lt;&gt;""),"Valid","Review baseline / ID / weight"))</x:f>
      </x:c>
    </x:row>
    <x:row r="138" ht="60" customHeight="1">
      <x:c r="A138" s="11"/>
      <x:c r="B138" s="11"/>
      <x:c r="C138" s="11"/>
      <x:c r="D138" s="11"/>
      <x:c r="E138" s="12"/>
      <x:c r="F138" s="13"/>
      <x:c r="G138" s="13"/>
      <x:c r="H138" s="21" t="str">
        <x:f>IF(A138="","",COUNTIFS(Daily!$C$7:$C$206,A138,Daily!$B$7:$B$206,B138,Daily!$I$7:$I$206,"Accepted",Daily!$P$7:$P$206,"Recorded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8" s="22" t="str">
        <x:f>IF(A138="","",IF(H138=0,"",SUMIFS(Daily!$H$7:$H$206,Daily!$C$7:$C$206,A138,Daily!$B$7:$B$206,B138,Daily!$I$7:$I$206,"Accepted",Daily!$P$7:$P$206,"Recorded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8" s="23" t="str">
        <x:f>IF(A138="","",IF(OR(NOT(ISNUMBER(E138)),E138&lt;=0,I138=""),"",I138/E138))</x:f>
      </x:c>
      <x:c r="K138" s="23" t="str">
        <x:f>IF(A138="","",IF(OR(J138="",NOT(ISNUMBER(F138))),"",J138*F138))</x:f>
      </x:c>
      <x:c r="L138" s="23" t="str">
        <x:f>IF(A138="","",IF(OR(NOT(ISNUMBER(F138)),NOT(ISNUMBER(G138))),"",F138*G138))</x:f>
      </x:c>
      <x:c r="M138" s="11"/>
      <x:c r="N138" s="14"/>
      <x:c r="O138" s="11"/>
      <x:c r="P138" s="21" t="str">
        <x:f>IF(A138="","",IF(AND(COUNTIFS($A$7:$A$206,A138,$B$7:$B$206,B138)=1,B138=Setup!$B$4,D138&lt;&gt;"",ISNUMBER(E138),E138&gt;0,ISNUMBER(F138),F138&gt;=0,F138&lt;=1,ISNUMBER(G138),G138&gt;=0,G138&lt;=1,O138&lt;&gt;""),"Valid","Review baseline / ID / weight"))</x:f>
      </x:c>
    </x:row>
    <x:row r="139" ht="60" customHeight="1">
      <x:c r="A139" s="11"/>
      <x:c r="B139" s="11"/>
      <x:c r="C139" s="11"/>
      <x:c r="D139" s="11"/>
      <x:c r="E139" s="12"/>
      <x:c r="F139" s="13"/>
      <x:c r="G139" s="13"/>
      <x:c r="H139" s="21" t="str">
        <x:f>IF(A139="","",COUNTIFS(Daily!$C$7:$C$206,A139,Daily!$B$7:$B$206,B139,Daily!$I$7:$I$206,"Accepted",Daily!$P$7:$P$206,"Recorded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9" s="22" t="str">
        <x:f>IF(A139="","",IF(H139=0,"",SUMIFS(Daily!$H$7:$H$206,Daily!$C$7:$C$206,A139,Daily!$B$7:$B$206,B139,Daily!$I$7:$I$206,"Accepted",Daily!$P$7:$P$206,"Recorded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9" s="23" t="str">
        <x:f>IF(A139="","",IF(OR(NOT(ISNUMBER(E139)),E139&lt;=0,I139=""),"",I139/E139))</x:f>
      </x:c>
      <x:c r="K139" s="23" t="str">
        <x:f>IF(A139="","",IF(OR(J139="",NOT(ISNUMBER(F139))),"",J139*F139))</x:f>
      </x:c>
      <x:c r="L139" s="23" t="str">
        <x:f>IF(A139="","",IF(OR(NOT(ISNUMBER(F139)),NOT(ISNUMBER(G139))),"",F139*G139))</x:f>
      </x:c>
      <x:c r="M139" s="11"/>
      <x:c r="N139" s="14"/>
      <x:c r="O139" s="11"/>
      <x:c r="P139" s="21" t="str">
        <x:f>IF(A139="","",IF(AND(COUNTIFS($A$7:$A$206,A139,$B$7:$B$206,B139)=1,B139=Setup!$B$4,D139&lt;&gt;"",ISNUMBER(E139),E139&gt;0,ISNUMBER(F139),F139&gt;=0,F139&lt;=1,ISNUMBER(G139),G139&gt;=0,G139&lt;=1,O139&lt;&gt;""),"Valid","Review baseline / ID / weight"))</x:f>
      </x:c>
    </x:row>
    <x:row r="140" ht="60" customHeight="1">
      <x:c r="A140" s="11"/>
      <x:c r="B140" s="11"/>
      <x:c r="C140" s="11"/>
      <x:c r="D140" s="11"/>
      <x:c r="E140" s="12"/>
      <x:c r="F140" s="13"/>
      <x:c r="G140" s="13"/>
      <x:c r="H140" s="21" t="str">
        <x:f>IF(A140="","",COUNTIFS(Daily!$C$7:$C$206,A140,Daily!$B$7:$B$206,B140,Daily!$I$7:$I$206,"Accepted",Daily!$P$7:$P$206,"Recorded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0" s="22" t="str">
        <x:f>IF(A140="","",IF(H140=0,"",SUMIFS(Daily!$H$7:$H$206,Daily!$C$7:$C$206,A140,Daily!$B$7:$B$206,B140,Daily!$I$7:$I$206,"Accepted",Daily!$P$7:$P$206,"Recorded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0" s="23" t="str">
        <x:f>IF(A140="","",IF(OR(NOT(ISNUMBER(E140)),E140&lt;=0,I140=""),"",I140/E140))</x:f>
      </x:c>
      <x:c r="K140" s="23" t="str">
        <x:f>IF(A140="","",IF(OR(J140="",NOT(ISNUMBER(F140))),"",J140*F140))</x:f>
      </x:c>
      <x:c r="L140" s="23" t="str">
        <x:f>IF(A140="","",IF(OR(NOT(ISNUMBER(F140)),NOT(ISNUMBER(G140))),"",F140*G140))</x:f>
      </x:c>
      <x:c r="M140" s="11"/>
      <x:c r="N140" s="14"/>
      <x:c r="O140" s="11"/>
      <x:c r="P140" s="21" t="str">
        <x:f>IF(A140="","",IF(AND(COUNTIFS($A$7:$A$206,A140,$B$7:$B$206,B140)=1,B140=Setup!$B$4,D140&lt;&gt;"",ISNUMBER(E140),E140&gt;0,ISNUMBER(F140),F140&gt;=0,F140&lt;=1,ISNUMBER(G140),G140&gt;=0,G140&lt;=1,O140&lt;&gt;""),"Valid","Review baseline / ID / weight"))</x:f>
      </x:c>
    </x:row>
    <x:row r="141" ht="60" customHeight="1">
      <x:c r="A141" s="11"/>
      <x:c r="B141" s="11"/>
      <x:c r="C141" s="11"/>
      <x:c r="D141" s="11"/>
      <x:c r="E141" s="12"/>
      <x:c r="F141" s="13"/>
      <x:c r="G141" s="13"/>
      <x:c r="H141" s="21" t="str">
        <x:f>IF(A141="","",COUNTIFS(Daily!$C$7:$C$206,A141,Daily!$B$7:$B$206,B141,Daily!$I$7:$I$206,"Accepted",Daily!$P$7:$P$206,"Recorded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1" s="22" t="str">
        <x:f>IF(A141="","",IF(H141=0,"",SUMIFS(Daily!$H$7:$H$206,Daily!$C$7:$C$206,A141,Daily!$B$7:$B$206,B141,Daily!$I$7:$I$206,"Accepted",Daily!$P$7:$P$206,"Recorded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1" s="23" t="str">
        <x:f>IF(A141="","",IF(OR(NOT(ISNUMBER(E141)),E141&lt;=0,I141=""),"",I141/E141))</x:f>
      </x:c>
      <x:c r="K141" s="23" t="str">
        <x:f>IF(A141="","",IF(OR(J141="",NOT(ISNUMBER(F141))),"",J141*F141))</x:f>
      </x:c>
      <x:c r="L141" s="23" t="str">
        <x:f>IF(A141="","",IF(OR(NOT(ISNUMBER(F141)),NOT(ISNUMBER(G141))),"",F141*G141))</x:f>
      </x:c>
      <x:c r="M141" s="11"/>
      <x:c r="N141" s="14"/>
      <x:c r="O141" s="11"/>
      <x:c r="P141" s="21" t="str">
        <x:f>IF(A141="","",IF(AND(COUNTIFS($A$7:$A$206,A141,$B$7:$B$206,B141)=1,B141=Setup!$B$4,D141&lt;&gt;"",ISNUMBER(E141),E141&gt;0,ISNUMBER(F141),F141&gt;=0,F141&lt;=1,ISNUMBER(G141),G141&gt;=0,G141&lt;=1,O141&lt;&gt;""),"Valid","Review baseline / ID / weight"))</x:f>
      </x:c>
    </x:row>
    <x:row r="142" ht="60" customHeight="1">
      <x:c r="A142" s="11"/>
      <x:c r="B142" s="11"/>
      <x:c r="C142" s="11"/>
      <x:c r="D142" s="11"/>
      <x:c r="E142" s="12"/>
      <x:c r="F142" s="13"/>
      <x:c r="G142" s="13"/>
      <x:c r="H142" s="21" t="str">
        <x:f>IF(A142="","",COUNTIFS(Daily!$C$7:$C$206,A142,Daily!$B$7:$B$206,B142,Daily!$I$7:$I$206,"Accepted",Daily!$P$7:$P$206,"Recorded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2" s="22" t="str">
        <x:f>IF(A142="","",IF(H142=0,"",SUMIFS(Daily!$H$7:$H$206,Daily!$C$7:$C$206,A142,Daily!$B$7:$B$206,B142,Daily!$I$7:$I$206,"Accepted",Daily!$P$7:$P$206,"Recorded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2" s="23" t="str">
        <x:f>IF(A142="","",IF(OR(NOT(ISNUMBER(E142)),E142&lt;=0,I142=""),"",I142/E142))</x:f>
      </x:c>
      <x:c r="K142" s="23" t="str">
        <x:f>IF(A142="","",IF(OR(J142="",NOT(ISNUMBER(F142))),"",J142*F142))</x:f>
      </x:c>
      <x:c r="L142" s="23" t="str">
        <x:f>IF(A142="","",IF(OR(NOT(ISNUMBER(F142)),NOT(ISNUMBER(G142))),"",F142*G142))</x:f>
      </x:c>
      <x:c r="M142" s="11"/>
      <x:c r="N142" s="14"/>
      <x:c r="O142" s="11"/>
      <x:c r="P142" s="21" t="str">
        <x:f>IF(A142="","",IF(AND(COUNTIFS($A$7:$A$206,A142,$B$7:$B$206,B142)=1,B142=Setup!$B$4,D142&lt;&gt;"",ISNUMBER(E142),E142&gt;0,ISNUMBER(F142),F142&gt;=0,F142&lt;=1,ISNUMBER(G142),G142&gt;=0,G142&lt;=1,O142&lt;&gt;""),"Valid","Review baseline / ID / weight"))</x:f>
      </x:c>
    </x:row>
    <x:row r="143" ht="60" customHeight="1">
      <x:c r="A143" s="11"/>
      <x:c r="B143" s="11"/>
      <x:c r="C143" s="11"/>
      <x:c r="D143" s="11"/>
      <x:c r="E143" s="12"/>
      <x:c r="F143" s="13"/>
      <x:c r="G143" s="13"/>
      <x:c r="H143" s="21" t="str">
        <x:f>IF(A143="","",COUNTIFS(Daily!$C$7:$C$206,A143,Daily!$B$7:$B$206,B143,Daily!$I$7:$I$206,"Accepted",Daily!$P$7:$P$206,"Recorded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3" s="22" t="str">
        <x:f>IF(A143="","",IF(H143=0,"",SUMIFS(Daily!$H$7:$H$206,Daily!$C$7:$C$206,A143,Daily!$B$7:$B$206,B143,Daily!$I$7:$I$206,"Accepted",Daily!$P$7:$P$206,"Recorded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3" s="23" t="str">
        <x:f>IF(A143="","",IF(OR(NOT(ISNUMBER(E143)),E143&lt;=0,I143=""),"",I143/E143))</x:f>
      </x:c>
      <x:c r="K143" s="23" t="str">
        <x:f>IF(A143="","",IF(OR(J143="",NOT(ISNUMBER(F143))),"",J143*F143))</x:f>
      </x:c>
      <x:c r="L143" s="23" t="str">
        <x:f>IF(A143="","",IF(OR(NOT(ISNUMBER(F143)),NOT(ISNUMBER(G143))),"",F143*G143))</x:f>
      </x:c>
      <x:c r="M143" s="11"/>
      <x:c r="N143" s="14"/>
      <x:c r="O143" s="11"/>
      <x:c r="P143" s="21" t="str">
        <x:f>IF(A143="","",IF(AND(COUNTIFS($A$7:$A$206,A143,$B$7:$B$206,B143)=1,B143=Setup!$B$4,D143&lt;&gt;"",ISNUMBER(E143),E143&gt;0,ISNUMBER(F143),F143&gt;=0,F143&lt;=1,ISNUMBER(G143),G143&gt;=0,G143&lt;=1,O143&lt;&gt;""),"Valid","Review baseline / ID / weight"))</x:f>
      </x:c>
    </x:row>
    <x:row r="144" ht="60" customHeight="1">
      <x:c r="A144" s="11"/>
      <x:c r="B144" s="11"/>
      <x:c r="C144" s="11"/>
      <x:c r="D144" s="11"/>
      <x:c r="E144" s="12"/>
      <x:c r="F144" s="13"/>
      <x:c r="G144" s="13"/>
      <x:c r="H144" s="21" t="str">
        <x:f>IF(A144="","",COUNTIFS(Daily!$C$7:$C$206,A144,Daily!$B$7:$B$206,B144,Daily!$I$7:$I$206,"Accepted",Daily!$P$7:$P$206,"Recorded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4" s="22" t="str">
        <x:f>IF(A144="","",IF(H144=0,"",SUMIFS(Daily!$H$7:$H$206,Daily!$C$7:$C$206,A144,Daily!$B$7:$B$206,B144,Daily!$I$7:$I$206,"Accepted",Daily!$P$7:$P$206,"Recorded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4" s="23" t="str">
        <x:f>IF(A144="","",IF(OR(NOT(ISNUMBER(E144)),E144&lt;=0,I144=""),"",I144/E144))</x:f>
      </x:c>
      <x:c r="K144" s="23" t="str">
        <x:f>IF(A144="","",IF(OR(J144="",NOT(ISNUMBER(F144))),"",J144*F144))</x:f>
      </x:c>
      <x:c r="L144" s="23" t="str">
        <x:f>IF(A144="","",IF(OR(NOT(ISNUMBER(F144)),NOT(ISNUMBER(G144))),"",F144*G144))</x:f>
      </x:c>
      <x:c r="M144" s="11"/>
      <x:c r="N144" s="14"/>
      <x:c r="O144" s="11"/>
      <x:c r="P144" s="21" t="str">
        <x:f>IF(A144="","",IF(AND(COUNTIFS($A$7:$A$206,A144,$B$7:$B$206,B144)=1,B144=Setup!$B$4,D144&lt;&gt;"",ISNUMBER(E144),E144&gt;0,ISNUMBER(F144),F144&gt;=0,F144&lt;=1,ISNUMBER(G144),G144&gt;=0,G144&lt;=1,O144&lt;&gt;""),"Valid","Review baseline / ID / weight"))</x:f>
      </x:c>
    </x:row>
    <x:row r="145" ht="60" customHeight="1">
      <x:c r="A145" s="11"/>
      <x:c r="B145" s="11"/>
      <x:c r="C145" s="11"/>
      <x:c r="D145" s="11"/>
      <x:c r="E145" s="12"/>
      <x:c r="F145" s="13"/>
      <x:c r="G145" s="13"/>
      <x:c r="H145" s="21" t="str">
        <x:f>IF(A145="","",COUNTIFS(Daily!$C$7:$C$206,A145,Daily!$B$7:$B$206,B145,Daily!$I$7:$I$206,"Accepted",Daily!$P$7:$P$206,"Recorded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5" s="22" t="str">
        <x:f>IF(A145="","",IF(H145=0,"",SUMIFS(Daily!$H$7:$H$206,Daily!$C$7:$C$206,A145,Daily!$B$7:$B$206,B145,Daily!$I$7:$I$206,"Accepted",Daily!$P$7:$P$206,"Recorded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5" s="23" t="str">
        <x:f>IF(A145="","",IF(OR(NOT(ISNUMBER(E145)),E145&lt;=0,I145=""),"",I145/E145))</x:f>
      </x:c>
      <x:c r="K145" s="23" t="str">
        <x:f>IF(A145="","",IF(OR(J145="",NOT(ISNUMBER(F145))),"",J145*F145))</x:f>
      </x:c>
      <x:c r="L145" s="23" t="str">
        <x:f>IF(A145="","",IF(OR(NOT(ISNUMBER(F145)),NOT(ISNUMBER(G145))),"",F145*G145))</x:f>
      </x:c>
      <x:c r="M145" s="11"/>
      <x:c r="N145" s="14"/>
      <x:c r="O145" s="11"/>
      <x:c r="P145" s="21" t="str">
        <x:f>IF(A145="","",IF(AND(COUNTIFS($A$7:$A$206,A145,$B$7:$B$206,B145)=1,B145=Setup!$B$4,D145&lt;&gt;"",ISNUMBER(E145),E145&gt;0,ISNUMBER(F145),F145&gt;=0,F145&lt;=1,ISNUMBER(G145),G145&gt;=0,G145&lt;=1,O145&lt;&gt;""),"Valid","Review baseline / ID / weight"))</x:f>
      </x:c>
    </x:row>
    <x:row r="146" ht="60" customHeight="1">
      <x:c r="A146" s="11"/>
      <x:c r="B146" s="11"/>
      <x:c r="C146" s="11"/>
      <x:c r="D146" s="11"/>
      <x:c r="E146" s="12"/>
      <x:c r="F146" s="13"/>
      <x:c r="G146" s="13"/>
      <x:c r="H146" s="21" t="str">
        <x:f>IF(A146="","",COUNTIFS(Daily!$C$7:$C$206,A146,Daily!$B$7:$B$206,B146,Daily!$I$7:$I$206,"Accepted",Daily!$P$7:$P$206,"Recorded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6" s="22" t="str">
        <x:f>IF(A146="","",IF(H146=0,"",SUMIFS(Daily!$H$7:$H$206,Daily!$C$7:$C$206,A146,Daily!$B$7:$B$206,B146,Daily!$I$7:$I$206,"Accepted",Daily!$P$7:$P$206,"Recorded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6" s="23" t="str">
        <x:f>IF(A146="","",IF(OR(NOT(ISNUMBER(E146)),E146&lt;=0,I146=""),"",I146/E146))</x:f>
      </x:c>
      <x:c r="K146" s="23" t="str">
        <x:f>IF(A146="","",IF(OR(J146="",NOT(ISNUMBER(F146))),"",J146*F146))</x:f>
      </x:c>
      <x:c r="L146" s="23" t="str">
        <x:f>IF(A146="","",IF(OR(NOT(ISNUMBER(F146)),NOT(ISNUMBER(G146))),"",F146*G146))</x:f>
      </x:c>
      <x:c r="M146" s="11"/>
      <x:c r="N146" s="14"/>
      <x:c r="O146" s="11"/>
      <x:c r="P146" s="21" t="str">
        <x:f>IF(A146="","",IF(AND(COUNTIFS($A$7:$A$206,A146,$B$7:$B$206,B146)=1,B146=Setup!$B$4,D146&lt;&gt;"",ISNUMBER(E146),E146&gt;0,ISNUMBER(F146),F146&gt;=0,F146&lt;=1,ISNUMBER(G146),G146&gt;=0,G146&lt;=1,O146&lt;&gt;""),"Valid","Review baseline / ID / weight"))</x:f>
      </x:c>
    </x:row>
    <x:row r="147" ht="60" customHeight="1">
      <x:c r="A147" s="11"/>
      <x:c r="B147" s="11"/>
      <x:c r="C147" s="11"/>
      <x:c r="D147" s="11"/>
      <x:c r="E147" s="12"/>
      <x:c r="F147" s="13"/>
      <x:c r="G147" s="13"/>
      <x:c r="H147" s="21" t="str">
        <x:f>IF(A147="","",COUNTIFS(Daily!$C$7:$C$206,A147,Daily!$B$7:$B$206,B147,Daily!$I$7:$I$206,"Accepted",Daily!$P$7:$P$206,"Recorded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7" s="22" t="str">
        <x:f>IF(A147="","",IF(H147=0,"",SUMIFS(Daily!$H$7:$H$206,Daily!$C$7:$C$206,A147,Daily!$B$7:$B$206,B147,Daily!$I$7:$I$206,"Accepted",Daily!$P$7:$P$206,"Recorded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7" s="23" t="str">
        <x:f>IF(A147="","",IF(OR(NOT(ISNUMBER(E147)),E147&lt;=0,I147=""),"",I147/E147))</x:f>
      </x:c>
      <x:c r="K147" s="23" t="str">
        <x:f>IF(A147="","",IF(OR(J147="",NOT(ISNUMBER(F147))),"",J147*F147))</x:f>
      </x:c>
      <x:c r="L147" s="23" t="str">
        <x:f>IF(A147="","",IF(OR(NOT(ISNUMBER(F147)),NOT(ISNUMBER(G147))),"",F147*G147))</x:f>
      </x:c>
      <x:c r="M147" s="11"/>
      <x:c r="N147" s="14"/>
      <x:c r="O147" s="11"/>
      <x:c r="P147" s="21" t="str">
        <x:f>IF(A147="","",IF(AND(COUNTIFS($A$7:$A$206,A147,$B$7:$B$206,B147)=1,B147=Setup!$B$4,D147&lt;&gt;"",ISNUMBER(E147),E147&gt;0,ISNUMBER(F147),F147&gt;=0,F147&lt;=1,ISNUMBER(G147),G147&gt;=0,G147&lt;=1,O147&lt;&gt;""),"Valid","Review baseline / ID / weight"))</x:f>
      </x:c>
    </x:row>
    <x:row r="148" ht="60" customHeight="1">
      <x:c r="A148" s="11"/>
      <x:c r="B148" s="11"/>
      <x:c r="C148" s="11"/>
      <x:c r="D148" s="11"/>
      <x:c r="E148" s="12"/>
      <x:c r="F148" s="13"/>
      <x:c r="G148" s="13"/>
      <x:c r="H148" s="21" t="str">
        <x:f>IF(A148="","",COUNTIFS(Daily!$C$7:$C$206,A148,Daily!$B$7:$B$206,B148,Daily!$I$7:$I$206,"Accepted",Daily!$P$7:$P$206,"Recorded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8" s="22" t="str">
        <x:f>IF(A148="","",IF(H148=0,"",SUMIFS(Daily!$H$7:$H$206,Daily!$C$7:$C$206,A148,Daily!$B$7:$B$206,B148,Daily!$I$7:$I$206,"Accepted",Daily!$P$7:$P$206,"Recorded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8" s="23" t="str">
        <x:f>IF(A148="","",IF(OR(NOT(ISNUMBER(E148)),E148&lt;=0,I148=""),"",I148/E148))</x:f>
      </x:c>
      <x:c r="K148" s="23" t="str">
        <x:f>IF(A148="","",IF(OR(J148="",NOT(ISNUMBER(F148))),"",J148*F148))</x:f>
      </x:c>
      <x:c r="L148" s="23" t="str">
        <x:f>IF(A148="","",IF(OR(NOT(ISNUMBER(F148)),NOT(ISNUMBER(G148))),"",F148*G148))</x:f>
      </x:c>
      <x:c r="M148" s="11"/>
      <x:c r="N148" s="14"/>
      <x:c r="O148" s="11"/>
      <x:c r="P148" s="21" t="str">
        <x:f>IF(A148="","",IF(AND(COUNTIFS($A$7:$A$206,A148,$B$7:$B$206,B148)=1,B148=Setup!$B$4,D148&lt;&gt;"",ISNUMBER(E148),E148&gt;0,ISNUMBER(F148),F148&gt;=0,F148&lt;=1,ISNUMBER(G148),G148&gt;=0,G148&lt;=1,O148&lt;&gt;""),"Valid","Review baseline / ID / weight"))</x:f>
      </x:c>
    </x:row>
    <x:row r="149" ht="60" customHeight="1">
      <x:c r="A149" s="11"/>
      <x:c r="B149" s="11"/>
      <x:c r="C149" s="11"/>
      <x:c r="D149" s="11"/>
      <x:c r="E149" s="12"/>
      <x:c r="F149" s="13"/>
      <x:c r="G149" s="13"/>
      <x:c r="H149" s="21" t="str">
        <x:f>IF(A149="","",COUNTIFS(Daily!$C$7:$C$206,A149,Daily!$B$7:$B$206,B149,Daily!$I$7:$I$206,"Accepted",Daily!$P$7:$P$206,"Recorded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9" s="22" t="str">
        <x:f>IF(A149="","",IF(H149=0,"",SUMIFS(Daily!$H$7:$H$206,Daily!$C$7:$C$206,A149,Daily!$B$7:$B$206,B149,Daily!$I$7:$I$206,"Accepted",Daily!$P$7:$P$206,"Recorded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9" s="23" t="str">
        <x:f>IF(A149="","",IF(OR(NOT(ISNUMBER(E149)),E149&lt;=0,I149=""),"",I149/E149))</x:f>
      </x:c>
      <x:c r="K149" s="23" t="str">
        <x:f>IF(A149="","",IF(OR(J149="",NOT(ISNUMBER(F149))),"",J149*F149))</x:f>
      </x:c>
      <x:c r="L149" s="23" t="str">
        <x:f>IF(A149="","",IF(OR(NOT(ISNUMBER(F149)),NOT(ISNUMBER(G149))),"",F149*G149))</x:f>
      </x:c>
      <x:c r="M149" s="11"/>
      <x:c r="N149" s="14"/>
      <x:c r="O149" s="11"/>
      <x:c r="P149" s="21" t="str">
        <x:f>IF(A149="","",IF(AND(COUNTIFS($A$7:$A$206,A149,$B$7:$B$206,B149)=1,B149=Setup!$B$4,D149&lt;&gt;"",ISNUMBER(E149),E149&gt;0,ISNUMBER(F149),F149&gt;=0,F149&lt;=1,ISNUMBER(G149),G149&gt;=0,G149&lt;=1,O149&lt;&gt;""),"Valid","Review baseline / ID / weight"))</x:f>
      </x:c>
    </x:row>
    <x:row r="150" ht="60" customHeight="1">
      <x:c r="A150" s="11"/>
      <x:c r="B150" s="11"/>
      <x:c r="C150" s="11"/>
      <x:c r="D150" s="11"/>
      <x:c r="E150" s="12"/>
      <x:c r="F150" s="13"/>
      <x:c r="G150" s="13"/>
      <x:c r="H150" s="21" t="str">
        <x:f>IF(A150="","",COUNTIFS(Daily!$C$7:$C$206,A150,Daily!$B$7:$B$206,B150,Daily!$I$7:$I$206,"Accepted",Daily!$P$7:$P$206,"Recorded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0" s="22" t="str">
        <x:f>IF(A150="","",IF(H150=0,"",SUMIFS(Daily!$H$7:$H$206,Daily!$C$7:$C$206,A150,Daily!$B$7:$B$206,B150,Daily!$I$7:$I$206,"Accepted",Daily!$P$7:$P$206,"Recorded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0" s="23" t="str">
        <x:f>IF(A150="","",IF(OR(NOT(ISNUMBER(E150)),E150&lt;=0,I150=""),"",I150/E150))</x:f>
      </x:c>
      <x:c r="K150" s="23" t="str">
        <x:f>IF(A150="","",IF(OR(J150="",NOT(ISNUMBER(F150))),"",J150*F150))</x:f>
      </x:c>
      <x:c r="L150" s="23" t="str">
        <x:f>IF(A150="","",IF(OR(NOT(ISNUMBER(F150)),NOT(ISNUMBER(G150))),"",F150*G150))</x:f>
      </x:c>
      <x:c r="M150" s="11"/>
      <x:c r="N150" s="14"/>
      <x:c r="O150" s="11"/>
      <x:c r="P150" s="21" t="str">
        <x:f>IF(A150="","",IF(AND(COUNTIFS($A$7:$A$206,A150,$B$7:$B$206,B150)=1,B150=Setup!$B$4,D150&lt;&gt;"",ISNUMBER(E150),E150&gt;0,ISNUMBER(F150),F150&gt;=0,F150&lt;=1,ISNUMBER(G150),G150&gt;=0,G150&lt;=1,O150&lt;&gt;""),"Valid","Review baseline / ID / weight"))</x:f>
      </x:c>
    </x:row>
    <x:row r="151" ht="60" customHeight="1">
      <x:c r="A151" s="11"/>
      <x:c r="B151" s="11"/>
      <x:c r="C151" s="11"/>
      <x:c r="D151" s="11"/>
      <x:c r="E151" s="12"/>
      <x:c r="F151" s="13"/>
      <x:c r="G151" s="13"/>
      <x:c r="H151" s="21" t="str">
        <x:f>IF(A151="","",COUNTIFS(Daily!$C$7:$C$206,A151,Daily!$B$7:$B$206,B151,Daily!$I$7:$I$206,"Accepted",Daily!$P$7:$P$206,"Recorded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1" s="22" t="str">
        <x:f>IF(A151="","",IF(H151=0,"",SUMIFS(Daily!$H$7:$H$206,Daily!$C$7:$C$206,A151,Daily!$B$7:$B$206,B151,Daily!$I$7:$I$206,"Accepted",Daily!$P$7:$P$206,"Recorded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1" s="23" t="str">
        <x:f>IF(A151="","",IF(OR(NOT(ISNUMBER(E151)),E151&lt;=0,I151=""),"",I151/E151))</x:f>
      </x:c>
      <x:c r="K151" s="23" t="str">
        <x:f>IF(A151="","",IF(OR(J151="",NOT(ISNUMBER(F151))),"",J151*F151))</x:f>
      </x:c>
      <x:c r="L151" s="23" t="str">
        <x:f>IF(A151="","",IF(OR(NOT(ISNUMBER(F151)),NOT(ISNUMBER(G151))),"",F151*G151))</x:f>
      </x:c>
      <x:c r="M151" s="11"/>
      <x:c r="N151" s="14"/>
      <x:c r="O151" s="11"/>
      <x:c r="P151" s="21" t="str">
        <x:f>IF(A151="","",IF(AND(COUNTIFS($A$7:$A$206,A151,$B$7:$B$206,B151)=1,B151=Setup!$B$4,D151&lt;&gt;"",ISNUMBER(E151),E151&gt;0,ISNUMBER(F151),F151&gt;=0,F151&lt;=1,ISNUMBER(G151),G151&gt;=0,G151&lt;=1,O151&lt;&gt;""),"Valid","Review baseline / ID / weight"))</x:f>
      </x:c>
    </x:row>
    <x:row r="152" ht="60" customHeight="1">
      <x:c r="A152" s="11"/>
      <x:c r="B152" s="11"/>
      <x:c r="C152" s="11"/>
      <x:c r="D152" s="11"/>
      <x:c r="E152" s="12"/>
      <x:c r="F152" s="13"/>
      <x:c r="G152" s="13"/>
      <x:c r="H152" s="21" t="str">
        <x:f>IF(A152="","",COUNTIFS(Daily!$C$7:$C$206,A152,Daily!$B$7:$B$206,B152,Daily!$I$7:$I$206,"Accepted",Daily!$P$7:$P$206,"Recorded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2" s="22" t="str">
        <x:f>IF(A152="","",IF(H152=0,"",SUMIFS(Daily!$H$7:$H$206,Daily!$C$7:$C$206,A152,Daily!$B$7:$B$206,B152,Daily!$I$7:$I$206,"Accepted",Daily!$P$7:$P$206,"Recorded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2" s="23" t="str">
        <x:f>IF(A152="","",IF(OR(NOT(ISNUMBER(E152)),E152&lt;=0,I152=""),"",I152/E152))</x:f>
      </x:c>
      <x:c r="K152" s="23" t="str">
        <x:f>IF(A152="","",IF(OR(J152="",NOT(ISNUMBER(F152))),"",J152*F152))</x:f>
      </x:c>
      <x:c r="L152" s="23" t="str">
        <x:f>IF(A152="","",IF(OR(NOT(ISNUMBER(F152)),NOT(ISNUMBER(G152))),"",F152*G152))</x:f>
      </x:c>
      <x:c r="M152" s="11"/>
      <x:c r="N152" s="14"/>
      <x:c r="O152" s="11"/>
      <x:c r="P152" s="21" t="str">
        <x:f>IF(A152="","",IF(AND(COUNTIFS($A$7:$A$206,A152,$B$7:$B$206,B152)=1,B152=Setup!$B$4,D152&lt;&gt;"",ISNUMBER(E152),E152&gt;0,ISNUMBER(F152),F152&gt;=0,F152&lt;=1,ISNUMBER(G152),G152&gt;=0,G152&lt;=1,O152&lt;&gt;""),"Valid","Review baseline / ID / weight"))</x:f>
      </x:c>
    </x:row>
    <x:row r="153" ht="60" customHeight="1">
      <x:c r="A153" s="11"/>
      <x:c r="B153" s="11"/>
      <x:c r="C153" s="11"/>
      <x:c r="D153" s="11"/>
      <x:c r="E153" s="12"/>
      <x:c r="F153" s="13"/>
      <x:c r="G153" s="13"/>
      <x:c r="H153" s="21" t="str">
        <x:f>IF(A153="","",COUNTIFS(Daily!$C$7:$C$206,A153,Daily!$B$7:$B$206,B153,Daily!$I$7:$I$206,"Accepted",Daily!$P$7:$P$206,"Recorded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3" s="22" t="str">
        <x:f>IF(A153="","",IF(H153=0,"",SUMIFS(Daily!$H$7:$H$206,Daily!$C$7:$C$206,A153,Daily!$B$7:$B$206,B153,Daily!$I$7:$I$206,"Accepted",Daily!$P$7:$P$206,"Recorded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3" s="23" t="str">
        <x:f>IF(A153="","",IF(OR(NOT(ISNUMBER(E153)),E153&lt;=0,I153=""),"",I153/E153))</x:f>
      </x:c>
      <x:c r="K153" s="23" t="str">
        <x:f>IF(A153="","",IF(OR(J153="",NOT(ISNUMBER(F153))),"",J153*F153))</x:f>
      </x:c>
      <x:c r="L153" s="23" t="str">
        <x:f>IF(A153="","",IF(OR(NOT(ISNUMBER(F153)),NOT(ISNUMBER(G153))),"",F153*G153))</x:f>
      </x:c>
      <x:c r="M153" s="11"/>
      <x:c r="N153" s="14"/>
      <x:c r="O153" s="11"/>
      <x:c r="P153" s="21" t="str">
        <x:f>IF(A153="","",IF(AND(COUNTIFS($A$7:$A$206,A153,$B$7:$B$206,B153)=1,B153=Setup!$B$4,D153&lt;&gt;"",ISNUMBER(E153),E153&gt;0,ISNUMBER(F153),F153&gt;=0,F153&lt;=1,ISNUMBER(G153),G153&gt;=0,G153&lt;=1,O153&lt;&gt;""),"Valid","Review baseline / ID / weight"))</x:f>
      </x:c>
    </x:row>
    <x:row r="154" ht="60" customHeight="1">
      <x:c r="A154" s="11"/>
      <x:c r="B154" s="11"/>
      <x:c r="C154" s="11"/>
      <x:c r="D154" s="11"/>
      <x:c r="E154" s="12"/>
      <x:c r="F154" s="13"/>
      <x:c r="G154" s="13"/>
      <x:c r="H154" s="21" t="str">
        <x:f>IF(A154="","",COUNTIFS(Daily!$C$7:$C$206,A154,Daily!$B$7:$B$206,B154,Daily!$I$7:$I$206,"Accepted",Daily!$P$7:$P$206,"Recorded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4" s="22" t="str">
        <x:f>IF(A154="","",IF(H154=0,"",SUMIFS(Daily!$H$7:$H$206,Daily!$C$7:$C$206,A154,Daily!$B$7:$B$206,B154,Daily!$I$7:$I$206,"Accepted",Daily!$P$7:$P$206,"Recorded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4" s="23" t="str">
        <x:f>IF(A154="","",IF(OR(NOT(ISNUMBER(E154)),E154&lt;=0,I154=""),"",I154/E154))</x:f>
      </x:c>
      <x:c r="K154" s="23" t="str">
        <x:f>IF(A154="","",IF(OR(J154="",NOT(ISNUMBER(F154))),"",J154*F154))</x:f>
      </x:c>
      <x:c r="L154" s="23" t="str">
        <x:f>IF(A154="","",IF(OR(NOT(ISNUMBER(F154)),NOT(ISNUMBER(G154))),"",F154*G154))</x:f>
      </x:c>
      <x:c r="M154" s="11"/>
      <x:c r="N154" s="14"/>
      <x:c r="O154" s="11"/>
      <x:c r="P154" s="21" t="str">
        <x:f>IF(A154="","",IF(AND(COUNTIFS($A$7:$A$206,A154,$B$7:$B$206,B154)=1,B154=Setup!$B$4,D154&lt;&gt;"",ISNUMBER(E154),E154&gt;0,ISNUMBER(F154),F154&gt;=0,F154&lt;=1,ISNUMBER(G154),G154&gt;=0,G154&lt;=1,O154&lt;&gt;""),"Valid","Review baseline / ID / weight"))</x:f>
      </x:c>
    </x:row>
    <x:row r="155" ht="60" customHeight="1">
      <x:c r="A155" s="11"/>
      <x:c r="B155" s="11"/>
      <x:c r="C155" s="11"/>
      <x:c r="D155" s="11"/>
      <x:c r="E155" s="12"/>
      <x:c r="F155" s="13"/>
      <x:c r="G155" s="13"/>
      <x:c r="H155" s="21" t="str">
        <x:f>IF(A155="","",COUNTIFS(Daily!$C$7:$C$206,A155,Daily!$B$7:$B$206,B155,Daily!$I$7:$I$206,"Accepted",Daily!$P$7:$P$206,"Recorded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5" s="22" t="str">
        <x:f>IF(A155="","",IF(H155=0,"",SUMIFS(Daily!$H$7:$H$206,Daily!$C$7:$C$206,A155,Daily!$B$7:$B$206,B155,Daily!$I$7:$I$206,"Accepted",Daily!$P$7:$P$206,"Recorded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5" s="23" t="str">
        <x:f>IF(A155="","",IF(OR(NOT(ISNUMBER(E155)),E155&lt;=0,I155=""),"",I155/E155))</x:f>
      </x:c>
      <x:c r="K155" s="23" t="str">
        <x:f>IF(A155="","",IF(OR(J155="",NOT(ISNUMBER(F155))),"",J155*F155))</x:f>
      </x:c>
      <x:c r="L155" s="23" t="str">
        <x:f>IF(A155="","",IF(OR(NOT(ISNUMBER(F155)),NOT(ISNUMBER(G155))),"",F155*G155))</x:f>
      </x:c>
      <x:c r="M155" s="11"/>
      <x:c r="N155" s="14"/>
      <x:c r="O155" s="11"/>
      <x:c r="P155" s="21" t="str">
        <x:f>IF(A155="","",IF(AND(COUNTIFS($A$7:$A$206,A155,$B$7:$B$206,B155)=1,B155=Setup!$B$4,D155&lt;&gt;"",ISNUMBER(E155),E155&gt;0,ISNUMBER(F155),F155&gt;=0,F155&lt;=1,ISNUMBER(G155),G155&gt;=0,G155&lt;=1,O155&lt;&gt;""),"Valid","Review baseline / ID / weight"))</x:f>
      </x:c>
    </x:row>
    <x:row r="156" ht="60" customHeight="1">
      <x:c r="A156" s="11"/>
      <x:c r="B156" s="11"/>
      <x:c r="C156" s="11"/>
      <x:c r="D156" s="11"/>
      <x:c r="E156" s="12"/>
      <x:c r="F156" s="13"/>
      <x:c r="G156" s="13"/>
      <x:c r="H156" s="21" t="str">
        <x:f>IF(A156="","",COUNTIFS(Daily!$C$7:$C$206,A156,Daily!$B$7:$B$206,B156,Daily!$I$7:$I$206,"Accepted",Daily!$P$7:$P$206,"Recorded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6" s="22" t="str">
        <x:f>IF(A156="","",IF(H156=0,"",SUMIFS(Daily!$H$7:$H$206,Daily!$C$7:$C$206,A156,Daily!$B$7:$B$206,B156,Daily!$I$7:$I$206,"Accepted",Daily!$P$7:$P$206,"Recorded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6" s="23" t="str">
        <x:f>IF(A156="","",IF(OR(NOT(ISNUMBER(E156)),E156&lt;=0,I156=""),"",I156/E156))</x:f>
      </x:c>
      <x:c r="K156" s="23" t="str">
        <x:f>IF(A156="","",IF(OR(J156="",NOT(ISNUMBER(F156))),"",J156*F156))</x:f>
      </x:c>
      <x:c r="L156" s="23" t="str">
        <x:f>IF(A156="","",IF(OR(NOT(ISNUMBER(F156)),NOT(ISNUMBER(G156))),"",F156*G156))</x:f>
      </x:c>
      <x:c r="M156" s="11"/>
      <x:c r="N156" s="14"/>
      <x:c r="O156" s="11"/>
      <x:c r="P156" s="21" t="str">
        <x:f>IF(A156="","",IF(AND(COUNTIFS($A$7:$A$206,A156,$B$7:$B$206,B156)=1,B156=Setup!$B$4,D156&lt;&gt;"",ISNUMBER(E156),E156&gt;0,ISNUMBER(F156),F156&gt;=0,F156&lt;=1,ISNUMBER(G156),G156&gt;=0,G156&lt;=1,O156&lt;&gt;""),"Valid","Review baseline / ID / weight"))</x:f>
      </x:c>
    </x:row>
    <x:row r="157" ht="60" customHeight="1">
      <x:c r="A157" s="11"/>
      <x:c r="B157" s="11"/>
      <x:c r="C157" s="11"/>
      <x:c r="D157" s="11"/>
      <x:c r="E157" s="12"/>
      <x:c r="F157" s="13"/>
      <x:c r="G157" s="13"/>
      <x:c r="H157" s="21" t="str">
        <x:f>IF(A157="","",COUNTIFS(Daily!$C$7:$C$206,A157,Daily!$B$7:$B$206,B157,Daily!$I$7:$I$206,"Accepted",Daily!$P$7:$P$206,"Recorded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7" s="22" t="str">
        <x:f>IF(A157="","",IF(H157=0,"",SUMIFS(Daily!$H$7:$H$206,Daily!$C$7:$C$206,A157,Daily!$B$7:$B$206,B157,Daily!$I$7:$I$206,"Accepted",Daily!$P$7:$P$206,"Recorded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7" s="23" t="str">
        <x:f>IF(A157="","",IF(OR(NOT(ISNUMBER(E157)),E157&lt;=0,I157=""),"",I157/E157))</x:f>
      </x:c>
      <x:c r="K157" s="23" t="str">
        <x:f>IF(A157="","",IF(OR(J157="",NOT(ISNUMBER(F157))),"",J157*F157))</x:f>
      </x:c>
      <x:c r="L157" s="23" t="str">
        <x:f>IF(A157="","",IF(OR(NOT(ISNUMBER(F157)),NOT(ISNUMBER(G157))),"",F157*G157))</x:f>
      </x:c>
      <x:c r="M157" s="11"/>
      <x:c r="N157" s="14"/>
      <x:c r="O157" s="11"/>
      <x:c r="P157" s="21" t="str">
        <x:f>IF(A157="","",IF(AND(COUNTIFS($A$7:$A$206,A157,$B$7:$B$206,B157)=1,B157=Setup!$B$4,D157&lt;&gt;"",ISNUMBER(E157),E157&gt;0,ISNUMBER(F157),F157&gt;=0,F157&lt;=1,ISNUMBER(G157),G157&gt;=0,G157&lt;=1,O157&lt;&gt;""),"Valid","Review baseline / ID / weight"))</x:f>
      </x:c>
    </x:row>
    <x:row r="158" ht="60" customHeight="1">
      <x:c r="A158" s="11"/>
      <x:c r="B158" s="11"/>
      <x:c r="C158" s="11"/>
      <x:c r="D158" s="11"/>
      <x:c r="E158" s="12"/>
      <x:c r="F158" s="13"/>
      <x:c r="G158" s="13"/>
      <x:c r="H158" s="21" t="str">
        <x:f>IF(A158="","",COUNTIFS(Daily!$C$7:$C$206,A158,Daily!$B$7:$B$206,B158,Daily!$I$7:$I$206,"Accepted",Daily!$P$7:$P$206,"Recorded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8" s="22" t="str">
        <x:f>IF(A158="","",IF(H158=0,"",SUMIFS(Daily!$H$7:$H$206,Daily!$C$7:$C$206,A158,Daily!$B$7:$B$206,B158,Daily!$I$7:$I$206,"Accepted",Daily!$P$7:$P$206,"Recorded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8" s="23" t="str">
        <x:f>IF(A158="","",IF(OR(NOT(ISNUMBER(E158)),E158&lt;=0,I158=""),"",I158/E158))</x:f>
      </x:c>
      <x:c r="K158" s="23" t="str">
        <x:f>IF(A158="","",IF(OR(J158="",NOT(ISNUMBER(F158))),"",J158*F158))</x:f>
      </x:c>
      <x:c r="L158" s="23" t="str">
        <x:f>IF(A158="","",IF(OR(NOT(ISNUMBER(F158)),NOT(ISNUMBER(G158))),"",F158*G158))</x:f>
      </x:c>
      <x:c r="M158" s="11"/>
      <x:c r="N158" s="14"/>
      <x:c r="O158" s="11"/>
      <x:c r="P158" s="21" t="str">
        <x:f>IF(A158="","",IF(AND(COUNTIFS($A$7:$A$206,A158,$B$7:$B$206,B158)=1,B158=Setup!$B$4,D158&lt;&gt;"",ISNUMBER(E158),E158&gt;0,ISNUMBER(F158),F158&gt;=0,F158&lt;=1,ISNUMBER(G158),G158&gt;=0,G158&lt;=1,O158&lt;&gt;""),"Valid","Review baseline / ID / weight"))</x:f>
      </x:c>
    </x:row>
    <x:row r="159" ht="60" customHeight="1">
      <x:c r="A159" s="11"/>
      <x:c r="B159" s="11"/>
      <x:c r="C159" s="11"/>
      <x:c r="D159" s="11"/>
      <x:c r="E159" s="12"/>
      <x:c r="F159" s="13"/>
      <x:c r="G159" s="13"/>
      <x:c r="H159" s="21" t="str">
        <x:f>IF(A159="","",COUNTIFS(Daily!$C$7:$C$206,A159,Daily!$B$7:$B$206,B159,Daily!$I$7:$I$206,"Accepted",Daily!$P$7:$P$206,"Recorded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9" s="22" t="str">
        <x:f>IF(A159="","",IF(H159=0,"",SUMIFS(Daily!$H$7:$H$206,Daily!$C$7:$C$206,A159,Daily!$B$7:$B$206,B159,Daily!$I$7:$I$206,"Accepted",Daily!$P$7:$P$206,"Recorded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9" s="23" t="str">
        <x:f>IF(A159="","",IF(OR(NOT(ISNUMBER(E159)),E159&lt;=0,I159=""),"",I159/E159))</x:f>
      </x:c>
      <x:c r="K159" s="23" t="str">
        <x:f>IF(A159="","",IF(OR(J159="",NOT(ISNUMBER(F159))),"",J159*F159))</x:f>
      </x:c>
      <x:c r="L159" s="23" t="str">
        <x:f>IF(A159="","",IF(OR(NOT(ISNUMBER(F159)),NOT(ISNUMBER(G159))),"",F159*G159))</x:f>
      </x:c>
      <x:c r="M159" s="11"/>
      <x:c r="N159" s="14"/>
      <x:c r="O159" s="11"/>
      <x:c r="P159" s="21" t="str">
        <x:f>IF(A159="","",IF(AND(COUNTIFS($A$7:$A$206,A159,$B$7:$B$206,B159)=1,B159=Setup!$B$4,D159&lt;&gt;"",ISNUMBER(E159),E159&gt;0,ISNUMBER(F159),F159&gt;=0,F159&lt;=1,ISNUMBER(G159),G159&gt;=0,G159&lt;=1,O159&lt;&gt;""),"Valid","Review baseline / ID / weight"))</x:f>
      </x:c>
    </x:row>
    <x:row r="160" ht="60" customHeight="1">
      <x:c r="A160" s="11"/>
      <x:c r="B160" s="11"/>
      <x:c r="C160" s="11"/>
      <x:c r="D160" s="11"/>
      <x:c r="E160" s="12"/>
      <x:c r="F160" s="13"/>
      <x:c r="G160" s="13"/>
      <x:c r="H160" s="21" t="str">
        <x:f>IF(A160="","",COUNTIFS(Daily!$C$7:$C$206,A160,Daily!$B$7:$B$206,B160,Daily!$I$7:$I$206,"Accepted",Daily!$P$7:$P$206,"Recorded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0" s="22" t="str">
        <x:f>IF(A160="","",IF(H160=0,"",SUMIFS(Daily!$H$7:$H$206,Daily!$C$7:$C$206,A160,Daily!$B$7:$B$206,B160,Daily!$I$7:$I$206,"Accepted",Daily!$P$7:$P$206,"Recorded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0" s="23" t="str">
        <x:f>IF(A160="","",IF(OR(NOT(ISNUMBER(E160)),E160&lt;=0,I160=""),"",I160/E160))</x:f>
      </x:c>
      <x:c r="K160" s="23" t="str">
        <x:f>IF(A160="","",IF(OR(J160="",NOT(ISNUMBER(F160))),"",J160*F160))</x:f>
      </x:c>
      <x:c r="L160" s="23" t="str">
        <x:f>IF(A160="","",IF(OR(NOT(ISNUMBER(F160)),NOT(ISNUMBER(G160))),"",F160*G160))</x:f>
      </x:c>
      <x:c r="M160" s="11"/>
      <x:c r="N160" s="14"/>
      <x:c r="O160" s="11"/>
      <x:c r="P160" s="21" t="str">
        <x:f>IF(A160="","",IF(AND(COUNTIFS($A$7:$A$206,A160,$B$7:$B$206,B160)=1,B160=Setup!$B$4,D160&lt;&gt;"",ISNUMBER(E160),E160&gt;0,ISNUMBER(F160),F160&gt;=0,F160&lt;=1,ISNUMBER(G160),G160&gt;=0,G160&lt;=1,O160&lt;&gt;""),"Valid","Review baseline / ID / weight"))</x:f>
      </x:c>
    </x:row>
    <x:row r="161" ht="60" customHeight="1">
      <x:c r="A161" s="11"/>
      <x:c r="B161" s="11"/>
      <x:c r="C161" s="11"/>
      <x:c r="D161" s="11"/>
      <x:c r="E161" s="12"/>
      <x:c r="F161" s="13"/>
      <x:c r="G161" s="13"/>
      <x:c r="H161" s="21" t="str">
        <x:f>IF(A161="","",COUNTIFS(Daily!$C$7:$C$206,A161,Daily!$B$7:$B$206,B161,Daily!$I$7:$I$206,"Accepted",Daily!$P$7:$P$206,"Recorded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1" s="22" t="str">
        <x:f>IF(A161="","",IF(H161=0,"",SUMIFS(Daily!$H$7:$H$206,Daily!$C$7:$C$206,A161,Daily!$B$7:$B$206,B161,Daily!$I$7:$I$206,"Accepted",Daily!$P$7:$P$206,"Recorded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1" s="23" t="str">
        <x:f>IF(A161="","",IF(OR(NOT(ISNUMBER(E161)),E161&lt;=0,I161=""),"",I161/E161))</x:f>
      </x:c>
      <x:c r="K161" s="23" t="str">
        <x:f>IF(A161="","",IF(OR(J161="",NOT(ISNUMBER(F161))),"",J161*F161))</x:f>
      </x:c>
      <x:c r="L161" s="23" t="str">
        <x:f>IF(A161="","",IF(OR(NOT(ISNUMBER(F161)),NOT(ISNUMBER(G161))),"",F161*G161))</x:f>
      </x:c>
      <x:c r="M161" s="11"/>
      <x:c r="N161" s="14"/>
      <x:c r="O161" s="11"/>
      <x:c r="P161" s="21" t="str">
        <x:f>IF(A161="","",IF(AND(COUNTIFS($A$7:$A$206,A161,$B$7:$B$206,B161)=1,B161=Setup!$B$4,D161&lt;&gt;"",ISNUMBER(E161),E161&gt;0,ISNUMBER(F161),F161&gt;=0,F161&lt;=1,ISNUMBER(G161),G161&gt;=0,G161&lt;=1,O161&lt;&gt;""),"Valid","Review baseline / ID / weight"))</x:f>
      </x:c>
    </x:row>
    <x:row r="162" ht="60" customHeight="1">
      <x:c r="A162" s="11"/>
      <x:c r="B162" s="11"/>
      <x:c r="C162" s="11"/>
      <x:c r="D162" s="11"/>
      <x:c r="E162" s="12"/>
      <x:c r="F162" s="13"/>
      <x:c r="G162" s="13"/>
      <x:c r="H162" s="21" t="str">
        <x:f>IF(A162="","",COUNTIFS(Daily!$C$7:$C$206,A162,Daily!$B$7:$B$206,B162,Daily!$I$7:$I$206,"Accepted",Daily!$P$7:$P$206,"Recorded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2" s="22" t="str">
        <x:f>IF(A162="","",IF(H162=0,"",SUMIFS(Daily!$H$7:$H$206,Daily!$C$7:$C$206,A162,Daily!$B$7:$B$206,B162,Daily!$I$7:$I$206,"Accepted",Daily!$P$7:$P$206,"Recorded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2" s="23" t="str">
        <x:f>IF(A162="","",IF(OR(NOT(ISNUMBER(E162)),E162&lt;=0,I162=""),"",I162/E162))</x:f>
      </x:c>
      <x:c r="K162" s="23" t="str">
        <x:f>IF(A162="","",IF(OR(J162="",NOT(ISNUMBER(F162))),"",J162*F162))</x:f>
      </x:c>
      <x:c r="L162" s="23" t="str">
        <x:f>IF(A162="","",IF(OR(NOT(ISNUMBER(F162)),NOT(ISNUMBER(G162))),"",F162*G162))</x:f>
      </x:c>
      <x:c r="M162" s="11"/>
      <x:c r="N162" s="14"/>
      <x:c r="O162" s="11"/>
      <x:c r="P162" s="21" t="str">
        <x:f>IF(A162="","",IF(AND(COUNTIFS($A$7:$A$206,A162,$B$7:$B$206,B162)=1,B162=Setup!$B$4,D162&lt;&gt;"",ISNUMBER(E162),E162&gt;0,ISNUMBER(F162),F162&gt;=0,F162&lt;=1,ISNUMBER(G162),G162&gt;=0,G162&lt;=1,O162&lt;&gt;""),"Valid","Review baseline / ID / weight"))</x:f>
      </x:c>
    </x:row>
    <x:row r="163" ht="60" customHeight="1">
      <x:c r="A163" s="11"/>
      <x:c r="B163" s="11"/>
      <x:c r="C163" s="11"/>
      <x:c r="D163" s="11"/>
      <x:c r="E163" s="12"/>
      <x:c r="F163" s="13"/>
      <x:c r="G163" s="13"/>
      <x:c r="H163" s="21" t="str">
        <x:f>IF(A163="","",COUNTIFS(Daily!$C$7:$C$206,A163,Daily!$B$7:$B$206,B163,Daily!$I$7:$I$206,"Accepted",Daily!$P$7:$P$206,"Recorded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3" s="22" t="str">
        <x:f>IF(A163="","",IF(H163=0,"",SUMIFS(Daily!$H$7:$H$206,Daily!$C$7:$C$206,A163,Daily!$B$7:$B$206,B163,Daily!$I$7:$I$206,"Accepted",Daily!$P$7:$P$206,"Recorded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3" s="23" t="str">
        <x:f>IF(A163="","",IF(OR(NOT(ISNUMBER(E163)),E163&lt;=0,I163=""),"",I163/E163))</x:f>
      </x:c>
      <x:c r="K163" s="23" t="str">
        <x:f>IF(A163="","",IF(OR(J163="",NOT(ISNUMBER(F163))),"",J163*F163))</x:f>
      </x:c>
      <x:c r="L163" s="23" t="str">
        <x:f>IF(A163="","",IF(OR(NOT(ISNUMBER(F163)),NOT(ISNUMBER(G163))),"",F163*G163))</x:f>
      </x:c>
      <x:c r="M163" s="11"/>
      <x:c r="N163" s="14"/>
      <x:c r="O163" s="11"/>
      <x:c r="P163" s="21" t="str">
        <x:f>IF(A163="","",IF(AND(COUNTIFS($A$7:$A$206,A163,$B$7:$B$206,B163)=1,B163=Setup!$B$4,D163&lt;&gt;"",ISNUMBER(E163),E163&gt;0,ISNUMBER(F163),F163&gt;=0,F163&lt;=1,ISNUMBER(G163),G163&gt;=0,G163&lt;=1,O163&lt;&gt;""),"Valid","Review baseline / ID / weight"))</x:f>
      </x:c>
    </x:row>
    <x:row r="164" ht="60" customHeight="1">
      <x:c r="A164" s="11"/>
      <x:c r="B164" s="11"/>
      <x:c r="C164" s="11"/>
      <x:c r="D164" s="11"/>
      <x:c r="E164" s="12"/>
      <x:c r="F164" s="13"/>
      <x:c r="G164" s="13"/>
      <x:c r="H164" s="21" t="str">
        <x:f>IF(A164="","",COUNTIFS(Daily!$C$7:$C$206,A164,Daily!$B$7:$B$206,B164,Daily!$I$7:$I$206,"Accepted",Daily!$P$7:$P$206,"Recorded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4" s="22" t="str">
        <x:f>IF(A164="","",IF(H164=0,"",SUMIFS(Daily!$H$7:$H$206,Daily!$C$7:$C$206,A164,Daily!$B$7:$B$206,B164,Daily!$I$7:$I$206,"Accepted",Daily!$P$7:$P$206,"Recorded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4" s="23" t="str">
        <x:f>IF(A164="","",IF(OR(NOT(ISNUMBER(E164)),E164&lt;=0,I164=""),"",I164/E164))</x:f>
      </x:c>
      <x:c r="K164" s="23" t="str">
        <x:f>IF(A164="","",IF(OR(J164="",NOT(ISNUMBER(F164))),"",J164*F164))</x:f>
      </x:c>
      <x:c r="L164" s="23" t="str">
        <x:f>IF(A164="","",IF(OR(NOT(ISNUMBER(F164)),NOT(ISNUMBER(G164))),"",F164*G164))</x:f>
      </x:c>
      <x:c r="M164" s="11"/>
      <x:c r="N164" s="14"/>
      <x:c r="O164" s="11"/>
      <x:c r="P164" s="21" t="str">
        <x:f>IF(A164="","",IF(AND(COUNTIFS($A$7:$A$206,A164,$B$7:$B$206,B164)=1,B164=Setup!$B$4,D164&lt;&gt;"",ISNUMBER(E164),E164&gt;0,ISNUMBER(F164),F164&gt;=0,F164&lt;=1,ISNUMBER(G164),G164&gt;=0,G164&lt;=1,O164&lt;&gt;""),"Valid","Review baseline / ID / weight"))</x:f>
      </x:c>
    </x:row>
    <x:row r="165" ht="60" customHeight="1">
      <x:c r="A165" s="11"/>
      <x:c r="B165" s="11"/>
      <x:c r="C165" s="11"/>
      <x:c r="D165" s="11"/>
      <x:c r="E165" s="12"/>
      <x:c r="F165" s="13"/>
      <x:c r="G165" s="13"/>
      <x:c r="H165" s="21" t="str">
        <x:f>IF(A165="","",COUNTIFS(Daily!$C$7:$C$206,A165,Daily!$B$7:$B$206,B165,Daily!$I$7:$I$206,"Accepted",Daily!$P$7:$P$206,"Recorded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5" s="22" t="str">
        <x:f>IF(A165="","",IF(H165=0,"",SUMIFS(Daily!$H$7:$H$206,Daily!$C$7:$C$206,A165,Daily!$B$7:$B$206,B165,Daily!$I$7:$I$206,"Accepted",Daily!$P$7:$P$206,"Recorded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5" s="23" t="str">
        <x:f>IF(A165="","",IF(OR(NOT(ISNUMBER(E165)),E165&lt;=0,I165=""),"",I165/E165))</x:f>
      </x:c>
      <x:c r="K165" s="23" t="str">
        <x:f>IF(A165="","",IF(OR(J165="",NOT(ISNUMBER(F165))),"",J165*F165))</x:f>
      </x:c>
      <x:c r="L165" s="23" t="str">
        <x:f>IF(A165="","",IF(OR(NOT(ISNUMBER(F165)),NOT(ISNUMBER(G165))),"",F165*G165))</x:f>
      </x:c>
      <x:c r="M165" s="11"/>
      <x:c r="N165" s="14"/>
      <x:c r="O165" s="11"/>
      <x:c r="P165" s="21" t="str">
        <x:f>IF(A165="","",IF(AND(COUNTIFS($A$7:$A$206,A165,$B$7:$B$206,B165)=1,B165=Setup!$B$4,D165&lt;&gt;"",ISNUMBER(E165),E165&gt;0,ISNUMBER(F165),F165&gt;=0,F165&lt;=1,ISNUMBER(G165),G165&gt;=0,G165&lt;=1,O165&lt;&gt;""),"Valid","Review baseline / ID / weight"))</x:f>
      </x:c>
    </x:row>
    <x:row r="166" ht="60" customHeight="1">
      <x:c r="A166" s="11"/>
      <x:c r="B166" s="11"/>
      <x:c r="C166" s="11"/>
      <x:c r="D166" s="11"/>
      <x:c r="E166" s="12"/>
      <x:c r="F166" s="13"/>
      <x:c r="G166" s="13"/>
      <x:c r="H166" s="21" t="str">
        <x:f>IF(A166="","",COUNTIFS(Daily!$C$7:$C$206,A166,Daily!$B$7:$B$206,B166,Daily!$I$7:$I$206,"Accepted",Daily!$P$7:$P$206,"Recorded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6" s="22" t="str">
        <x:f>IF(A166="","",IF(H166=0,"",SUMIFS(Daily!$H$7:$H$206,Daily!$C$7:$C$206,A166,Daily!$B$7:$B$206,B166,Daily!$I$7:$I$206,"Accepted",Daily!$P$7:$P$206,"Recorded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6" s="23" t="str">
        <x:f>IF(A166="","",IF(OR(NOT(ISNUMBER(E166)),E166&lt;=0,I166=""),"",I166/E166))</x:f>
      </x:c>
      <x:c r="K166" s="23" t="str">
        <x:f>IF(A166="","",IF(OR(J166="",NOT(ISNUMBER(F166))),"",J166*F166))</x:f>
      </x:c>
      <x:c r="L166" s="23" t="str">
        <x:f>IF(A166="","",IF(OR(NOT(ISNUMBER(F166)),NOT(ISNUMBER(G166))),"",F166*G166))</x:f>
      </x:c>
      <x:c r="M166" s="11"/>
      <x:c r="N166" s="14"/>
      <x:c r="O166" s="11"/>
      <x:c r="P166" s="21" t="str">
        <x:f>IF(A166="","",IF(AND(COUNTIFS($A$7:$A$206,A166,$B$7:$B$206,B166)=1,B166=Setup!$B$4,D166&lt;&gt;"",ISNUMBER(E166),E166&gt;0,ISNUMBER(F166),F166&gt;=0,F166&lt;=1,ISNUMBER(G166),G166&gt;=0,G166&lt;=1,O166&lt;&gt;""),"Valid","Review baseline / ID / weight"))</x:f>
      </x:c>
    </x:row>
    <x:row r="167" ht="60" customHeight="1">
      <x:c r="A167" s="11"/>
      <x:c r="B167" s="11"/>
      <x:c r="C167" s="11"/>
      <x:c r="D167" s="11"/>
      <x:c r="E167" s="12"/>
      <x:c r="F167" s="13"/>
      <x:c r="G167" s="13"/>
      <x:c r="H167" s="21" t="str">
        <x:f>IF(A167="","",COUNTIFS(Daily!$C$7:$C$206,A167,Daily!$B$7:$B$206,B167,Daily!$I$7:$I$206,"Accepted",Daily!$P$7:$P$206,"Recorded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7" s="22" t="str">
        <x:f>IF(A167="","",IF(H167=0,"",SUMIFS(Daily!$H$7:$H$206,Daily!$C$7:$C$206,A167,Daily!$B$7:$B$206,B167,Daily!$I$7:$I$206,"Accepted",Daily!$P$7:$P$206,"Recorded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7" s="23" t="str">
        <x:f>IF(A167="","",IF(OR(NOT(ISNUMBER(E167)),E167&lt;=0,I167=""),"",I167/E167))</x:f>
      </x:c>
      <x:c r="K167" s="23" t="str">
        <x:f>IF(A167="","",IF(OR(J167="",NOT(ISNUMBER(F167))),"",J167*F167))</x:f>
      </x:c>
      <x:c r="L167" s="23" t="str">
        <x:f>IF(A167="","",IF(OR(NOT(ISNUMBER(F167)),NOT(ISNUMBER(G167))),"",F167*G167))</x:f>
      </x:c>
      <x:c r="M167" s="11"/>
      <x:c r="N167" s="14"/>
      <x:c r="O167" s="11"/>
      <x:c r="P167" s="21" t="str">
        <x:f>IF(A167="","",IF(AND(COUNTIFS($A$7:$A$206,A167,$B$7:$B$206,B167)=1,B167=Setup!$B$4,D167&lt;&gt;"",ISNUMBER(E167),E167&gt;0,ISNUMBER(F167),F167&gt;=0,F167&lt;=1,ISNUMBER(G167),G167&gt;=0,G167&lt;=1,O167&lt;&gt;""),"Valid","Review baseline / ID / weight"))</x:f>
      </x:c>
    </x:row>
    <x:row r="168" ht="60" customHeight="1">
      <x:c r="A168" s="11"/>
      <x:c r="B168" s="11"/>
      <x:c r="C168" s="11"/>
      <x:c r="D168" s="11"/>
      <x:c r="E168" s="12"/>
      <x:c r="F168" s="13"/>
      <x:c r="G168" s="13"/>
      <x:c r="H168" s="21" t="str">
        <x:f>IF(A168="","",COUNTIFS(Daily!$C$7:$C$206,A168,Daily!$B$7:$B$206,B168,Daily!$I$7:$I$206,"Accepted",Daily!$P$7:$P$206,"Recorded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8" s="22" t="str">
        <x:f>IF(A168="","",IF(H168=0,"",SUMIFS(Daily!$H$7:$H$206,Daily!$C$7:$C$206,A168,Daily!$B$7:$B$206,B168,Daily!$I$7:$I$206,"Accepted",Daily!$P$7:$P$206,"Recorded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8" s="23" t="str">
        <x:f>IF(A168="","",IF(OR(NOT(ISNUMBER(E168)),E168&lt;=0,I168=""),"",I168/E168))</x:f>
      </x:c>
      <x:c r="K168" s="23" t="str">
        <x:f>IF(A168="","",IF(OR(J168="",NOT(ISNUMBER(F168))),"",J168*F168))</x:f>
      </x:c>
      <x:c r="L168" s="23" t="str">
        <x:f>IF(A168="","",IF(OR(NOT(ISNUMBER(F168)),NOT(ISNUMBER(G168))),"",F168*G168))</x:f>
      </x:c>
      <x:c r="M168" s="11"/>
      <x:c r="N168" s="14"/>
      <x:c r="O168" s="11"/>
      <x:c r="P168" s="21" t="str">
        <x:f>IF(A168="","",IF(AND(COUNTIFS($A$7:$A$206,A168,$B$7:$B$206,B168)=1,B168=Setup!$B$4,D168&lt;&gt;"",ISNUMBER(E168),E168&gt;0,ISNUMBER(F168),F168&gt;=0,F168&lt;=1,ISNUMBER(G168),G168&gt;=0,G168&lt;=1,O168&lt;&gt;""),"Valid","Review baseline / ID / weight"))</x:f>
      </x:c>
    </x:row>
    <x:row r="169" ht="60" customHeight="1">
      <x:c r="A169" s="11"/>
      <x:c r="B169" s="11"/>
      <x:c r="C169" s="11"/>
      <x:c r="D169" s="11"/>
      <x:c r="E169" s="12"/>
      <x:c r="F169" s="13"/>
      <x:c r="G169" s="13"/>
      <x:c r="H169" s="21" t="str">
        <x:f>IF(A169="","",COUNTIFS(Daily!$C$7:$C$206,A169,Daily!$B$7:$B$206,B169,Daily!$I$7:$I$206,"Accepted",Daily!$P$7:$P$206,"Recorded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9" s="22" t="str">
        <x:f>IF(A169="","",IF(H169=0,"",SUMIFS(Daily!$H$7:$H$206,Daily!$C$7:$C$206,A169,Daily!$B$7:$B$206,B169,Daily!$I$7:$I$206,"Accepted",Daily!$P$7:$P$206,"Recorded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9" s="23" t="str">
        <x:f>IF(A169="","",IF(OR(NOT(ISNUMBER(E169)),E169&lt;=0,I169=""),"",I169/E169))</x:f>
      </x:c>
      <x:c r="K169" s="23" t="str">
        <x:f>IF(A169="","",IF(OR(J169="",NOT(ISNUMBER(F169))),"",J169*F169))</x:f>
      </x:c>
      <x:c r="L169" s="23" t="str">
        <x:f>IF(A169="","",IF(OR(NOT(ISNUMBER(F169)),NOT(ISNUMBER(G169))),"",F169*G169))</x:f>
      </x:c>
      <x:c r="M169" s="11"/>
      <x:c r="N169" s="14"/>
      <x:c r="O169" s="11"/>
      <x:c r="P169" s="21" t="str">
        <x:f>IF(A169="","",IF(AND(COUNTIFS($A$7:$A$206,A169,$B$7:$B$206,B169)=1,B169=Setup!$B$4,D169&lt;&gt;"",ISNUMBER(E169),E169&gt;0,ISNUMBER(F169),F169&gt;=0,F169&lt;=1,ISNUMBER(G169),G169&gt;=0,G169&lt;=1,O169&lt;&gt;""),"Valid","Review baseline / ID / weight"))</x:f>
      </x:c>
    </x:row>
    <x:row r="170" ht="60" customHeight="1">
      <x:c r="A170" s="11"/>
      <x:c r="B170" s="11"/>
      <x:c r="C170" s="11"/>
      <x:c r="D170" s="11"/>
      <x:c r="E170" s="12"/>
      <x:c r="F170" s="13"/>
      <x:c r="G170" s="13"/>
      <x:c r="H170" s="21" t="str">
        <x:f>IF(A170="","",COUNTIFS(Daily!$C$7:$C$206,A170,Daily!$B$7:$B$206,B170,Daily!$I$7:$I$206,"Accepted",Daily!$P$7:$P$206,"Recorded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0" s="22" t="str">
        <x:f>IF(A170="","",IF(H170=0,"",SUMIFS(Daily!$H$7:$H$206,Daily!$C$7:$C$206,A170,Daily!$B$7:$B$206,B170,Daily!$I$7:$I$206,"Accepted",Daily!$P$7:$P$206,"Recorded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0" s="23" t="str">
        <x:f>IF(A170="","",IF(OR(NOT(ISNUMBER(E170)),E170&lt;=0,I170=""),"",I170/E170))</x:f>
      </x:c>
      <x:c r="K170" s="23" t="str">
        <x:f>IF(A170="","",IF(OR(J170="",NOT(ISNUMBER(F170))),"",J170*F170))</x:f>
      </x:c>
      <x:c r="L170" s="23" t="str">
        <x:f>IF(A170="","",IF(OR(NOT(ISNUMBER(F170)),NOT(ISNUMBER(G170))),"",F170*G170))</x:f>
      </x:c>
      <x:c r="M170" s="11"/>
      <x:c r="N170" s="14"/>
      <x:c r="O170" s="11"/>
      <x:c r="P170" s="21" t="str">
        <x:f>IF(A170="","",IF(AND(COUNTIFS($A$7:$A$206,A170,$B$7:$B$206,B170)=1,B170=Setup!$B$4,D170&lt;&gt;"",ISNUMBER(E170),E170&gt;0,ISNUMBER(F170),F170&gt;=0,F170&lt;=1,ISNUMBER(G170),G170&gt;=0,G170&lt;=1,O170&lt;&gt;""),"Valid","Review baseline / ID / weight"))</x:f>
      </x:c>
    </x:row>
    <x:row r="171" ht="60" customHeight="1">
      <x:c r="A171" s="11"/>
      <x:c r="B171" s="11"/>
      <x:c r="C171" s="11"/>
      <x:c r="D171" s="11"/>
      <x:c r="E171" s="12"/>
      <x:c r="F171" s="13"/>
      <x:c r="G171" s="13"/>
      <x:c r="H171" s="21" t="str">
        <x:f>IF(A171="","",COUNTIFS(Daily!$C$7:$C$206,A171,Daily!$B$7:$B$206,B171,Daily!$I$7:$I$206,"Accepted",Daily!$P$7:$P$206,"Recorded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1" s="22" t="str">
        <x:f>IF(A171="","",IF(H171=0,"",SUMIFS(Daily!$H$7:$H$206,Daily!$C$7:$C$206,A171,Daily!$B$7:$B$206,B171,Daily!$I$7:$I$206,"Accepted",Daily!$P$7:$P$206,"Recorded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1" s="23" t="str">
        <x:f>IF(A171="","",IF(OR(NOT(ISNUMBER(E171)),E171&lt;=0,I171=""),"",I171/E171))</x:f>
      </x:c>
      <x:c r="K171" s="23" t="str">
        <x:f>IF(A171="","",IF(OR(J171="",NOT(ISNUMBER(F171))),"",J171*F171))</x:f>
      </x:c>
      <x:c r="L171" s="23" t="str">
        <x:f>IF(A171="","",IF(OR(NOT(ISNUMBER(F171)),NOT(ISNUMBER(G171))),"",F171*G171))</x:f>
      </x:c>
      <x:c r="M171" s="11"/>
      <x:c r="N171" s="14"/>
      <x:c r="O171" s="11"/>
      <x:c r="P171" s="21" t="str">
        <x:f>IF(A171="","",IF(AND(COUNTIFS($A$7:$A$206,A171,$B$7:$B$206,B171)=1,B171=Setup!$B$4,D171&lt;&gt;"",ISNUMBER(E171),E171&gt;0,ISNUMBER(F171),F171&gt;=0,F171&lt;=1,ISNUMBER(G171),G171&gt;=0,G171&lt;=1,O171&lt;&gt;""),"Valid","Review baseline / ID / weight"))</x:f>
      </x:c>
    </x:row>
    <x:row r="172" ht="60" customHeight="1">
      <x:c r="A172" s="11"/>
      <x:c r="B172" s="11"/>
      <x:c r="C172" s="11"/>
      <x:c r="D172" s="11"/>
      <x:c r="E172" s="12"/>
      <x:c r="F172" s="13"/>
      <x:c r="G172" s="13"/>
      <x:c r="H172" s="21" t="str">
        <x:f>IF(A172="","",COUNTIFS(Daily!$C$7:$C$206,A172,Daily!$B$7:$B$206,B172,Daily!$I$7:$I$206,"Accepted",Daily!$P$7:$P$206,"Recorded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2" s="22" t="str">
        <x:f>IF(A172="","",IF(H172=0,"",SUMIFS(Daily!$H$7:$H$206,Daily!$C$7:$C$206,A172,Daily!$B$7:$B$206,B172,Daily!$I$7:$I$206,"Accepted",Daily!$P$7:$P$206,"Recorded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2" s="23" t="str">
        <x:f>IF(A172="","",IF(OR(NOT(ISNUMBER(E172)),E172&lt;=0,I172=""),"",I172/E172))</x:f>
      </x:c>
      <x:c r="K172" s="23" t="str">
        <x:f>IF(A172="","",IF(OR(J172="",NOT(ISNUMBER(F172))),"",J172*F172))</x:f>
      </x:c>
      <x:c r="L172" s="23" t="str">
        <x:f>IF(A172="","",IF(OR(NOT(ISNUMBER(F172)),NOT(ISNUMBER(G172))),"",F172*G172))</x:f>
      </x:c>
      <x:c r="M172" s="11"/>
      <x:c r="N172" s="14"/>
      <x:c r="O172" s="11"/>
      <x:c r="P172" s="21" t="str">
        <x:f>IF(A172="","",IF(AND(COUNTIFS($A$7:$A$206,A172,$B$7:$B$206,B172)=1,B172=Setup!$B$4,D172&lt;&gt;"",ISNUMBER(E172),E172&gt;0,ISNUMBER(F172),F172&gt;=0,F172&lt;=1,ISNUMBER(G172),G172&gt;=0,G172&lt;=1,O172&lt;&gt;""),"Valid","Review baseline / ID / weight"))</x:f>
      </x:c>
    </x:row>
    <x:row r="173" ht="60" customHeight="1">
      <x:c r="A173" s="11"/>
      <x:c r="B173" s="11"/>
      <x:c r="C173" s="11"/>
      <x:c r="D173" s="11"/>
      <x:c r="E173" s="12"/>
      <x:c r="F173" s="13"/>
      <x:c r="G173" s="13"/>
      <x:c r="H173" s="21" t="str">
        <x:f>IF(A173="","",COUNTIFS(Daily!$C$7:$C$206,A173,Daily!$B$7:$B$206,B173,Daily!$I$7:$I$206,"Accepted",Daily!$P$7:$P$206,"Recorded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3" s="22" t="str">
        <x:f>IF(A173="","",IF(H173=0,"",SUMIFS(Daily!$H$7:$H$206,Daily!$C$7:$C$206,A173,Daily!$B$7:$B$206,B173,Daily!$I$7:$I$206,"Accepted",Daily!$P$7:$P$206,"Recorded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3" s="23" t="str">
        <x:f>IF(A173="","",IF(OR(NOT(ISNUMBER(E173)),E173&lt;=0,I173=""),"",I173/E173))</x:f>
      </x:c>
      <x:c r="K173" s="23" t="str">
        <x:f>IF(A173="","",IF(OR(J173="",NOT(ISNUMBER(F173))),"",J173*F173))</x:f>
      </x:c>
      <x:c r="L173" s="23" t="str">
        <x:f>IF(A173="","",IF(OR(NOT(ISNUMBER(F173)),NOT(ISNUMBER(G173))),"",F173*G173))</x:f>
      </x:c>
      <x:c r="M173" s="11"/>
      <x:c r="N173" s="14"/>
      <x:c r="O173" s="11"/>
      <x:c r="P173" s="21" t="str">
        <x:f>IF(A173="","",IF(AND(COUNTIFS($A$7:$A$206,A173,$B$7:$B$206,B173)=1,B173=Setup!$B$4,D173&lt;&gt;"",ISNUMBER(E173),E173&gt;0,ISNUMBER(F173),F173&gt;=0,F173&lt;=1,ISNUMBER(G173),G173&gt;=0,G173&lt;=1,O173&lt;&gt;""),"Valid","Review baseline / ID / weight"))</x:f>
      </x:c>
    </x:row>
    <x:row r="174" ht="60" customHeight="1">
      <x:c r="A174" s="11"/>
      <x:c r="B174" s="11"/>
      <x:c r="C174" s="11"/>
      <x:c r="D174" s="11"/>
      <x:c r="E174" s="12"/>
      <x:c r="F174" s="13"/>
      <x:c r="G174" s="13"/>
      <x:c r="H174" s="21" t="str">
        <x:f>IF(A174="","",COUNTIFS(Daily!$C$7:$C$206,A174,Daily!$B$7:$B$206,B174,Daily!$I$7:$I$206,"Accepted",Daily!$P$7:$P$206,"Recorded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4" s="22" t="str">
        <x:f>IF(A174="","",IF(H174=0,"",SUMIFS(Daily!$H$7:$H$206,Daily!$C$7:$C$206,A174,Daily!$B$7:$B$206,B174,Daily!$I$7:$I$206,"Accepted",Daily!$P$7:$P$206,"Recorded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4" s="23" t="str">
        <x:f>IF(A174="","",IF(OR(NOT(ISNUMBER(E174)),E174&lt;=0,I174=""),"",I174/E174))</x:f>
      </x:c>
      <x:c r="K174" s="23" t="str">
        <x:f>IF(A174="","",IF(OR(J174="",NOT(ISNUMBER(F174))),"",J174*F174))</x:f>
      </x:c>
      <x:c r="L174" s="23" t="str">
        <x:f>IF(A174="","",IF(OR(NOT(ISNUMBER(F174)),NOT(ISNUMBER(G174))),"",F174*G174))</x:f>
      </x:c>
      <x:c r="M174" s="11"/>
      <x:c r="N174" s="14"/>
      <x:c r="O174" s="11"/>
      <x:c r="P174" s="21" t="str">
        <x:f>IF(A174="","",IF(AND(COUNTIFS($A$7:$A$206,A174,$B$7:$B$206,B174)=1,B174=Setup!$B$4,D174&lt;&gt;"",ISNUMBER(E174),E174&gt;0,ISNUMBER(F174),F174&gt;=0,F174&lt;=1,ISNUMBER(G174),G174&gt;=0,G174&lt;=1,O174&lt;&gt;""),"Valid","Review baseline / ID / weight"))</x:f>
      </x:c>
    </x:row>
    <x:row r="175" ht="60" customHeight="1">
      <x:c r="A175" s="11"/>
      <x:c r="B175" s="11"/>
      <x:c r="C175" s="11"/>
      <x:c r="D175" s="11"/>
      <x:c r="E175" s="12"/>
      <x:c r="F175" s="13"/>
      <x:c r="G175" s="13"/>
      <x:c r="H175" s="21" t="str">
        <x:f>IF(A175="","",COUNTIFS(Daily!$C$7:$C$206,A175,Daily!$B$7:$B$206,B175,Daily!$I$7:$I$206,"Accepted",Daily!$P$7:$P$206,"Recorded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5" s="22" t="str">
        <x:f>IF(A175="","",IF(H175=0,"",SUMIFS(Daily!$H$7:$H$206,Daily!$C$7:$C$206,A175,Daily!$B$7:$B$206,B175,Daily!$I$7:$I$206,"Accepted",Daily!$P$7:$P$206,"Recorded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5" s="23" t="str">
        <x:f>IF(A175="","",IF(OR(NOT(ISNUMBER(E175)),E175&lt;=0,I175=""),"",I175/E175))</x:f>
      </x:c>
      <x:c r="K175" s="23" t="str">
        <x:f>IF(A175="","",IF(OR(J175="",NOT(ISNUMBER(F175))),"",J175*F175))</x:f>
      </x:c>
      <x:c r="L175" s="23" t="str">
        <x:f>IF(A175="","",IF(OR(NOT(ISNUMBER(F175)),NOT(ISNUMBER(G175))),"",F175*G175))</x:f>
      </x:c>
      <x:c r="M175" s="11"/>
      <x:c r="N175" s="14"/>
      <x:c r="O175" s="11"/>
      <x:c r="P175" s="21" t="str">
        <x:f>IF(A175="","",IF(AND(COUNTIFS($A$7:$A$206,A175,$B$7:$B$206,B175)=1,B175=Setup!$B$4,D175&lt;&gt;"",ISNUMBER(E175),E175&gt;0,ISNUMBER(F175),F175&gt;=0,F175&lt;=1,ISNUMBER(G175),G175&gt;=0,G175&lt;=1,O175&lt;&gt;""),"Valid","Review baseline / ID / weight"))</x:f>
      </x:c>
    </x:row>
    <x:row r="176" ht="60" customHeight="1">
      <x:c r="A176" s="11"/>
      <x:c r="B176" s="11"/>
      <x:c r="C176" s="11"/>
      <x:c r="D176" s="11"/>
      <x:c r="E176" s="12"/>
      <x:c r="F176" s="13"/>
      <x:c r="G176" s="13"/>
      <x:c r="H176" s="21" t="str">
        <x:f>IF(A176="","",COUNTIFS(Daily!$C$7:$C$206,A176,Daily!$B$7:$B$206,B176,Daily!$I$7:$I$206,"Accepted",Daily!$P$7:$P$206,"Recorded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6" s="22" t="str">
        <x:f>IF(A176="","",IF(H176=0,"",SUMIFS(Daily!$H$7:$H$206,Daily!$C$7:$C$206,A176,Daily!$B$7:$B$206,B176,Daily!$I$7:$I$206,"Accepted",Daily!$P$7:$P$206,"Recorded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6" s="23" t="str">
        <x:f>IF(A176="","",IF(OR(NOT(ISNUMBER(E176)),E176&lt;=0,I176=""),"",I176/E176))</x:f>
      </x:c>
      <x:c r="K176" s="23" t="str">
        <x:f>IF(A176="","",IF(OR(J176="",NOT(ISNUMBER(F176))),"",J176*F176))</x:f>
      </x:c>
      <x:c r="L176" s="23" t="str">
        <x:f>IF(A176="","",IF(OR(NOT(ISNUMBER(F176)),NOT(ISNUMBER(G176))),"",F176*G176))</x:f>
      </x:c>
      <x:c r="M176" s="11"/>
      <x:c r="N176" s="14"/>
      <x:c r="O176" s="11"/>
      <x:c r="P176" s="21" t="str">
        <x:f>IF(A176="","",IF(AND(COUNTIFS($A$7:$A$206,A176,$B$7:$B$206,B176)=1,B176=Setup!$B$4,D176&lt;&gt;"",ISNUMBER(E176),E176&gt;0,ISNUMBER(F176),F176&gt;=0,F176&lt;=1,ISNUMBER(G176),G176&gt;=0,G176&lt;=1,O176&lt;&gt;""),"Valid","Review baseline / ID / weight"))</x:f>
      </x:c>
    </x:row>
    <x:row r="177" ht="60" customHeight="1">
      <x:c r="A177" s="11"/>
      <x:c r="B177" s="11"/>
      <x:c r="C177" s="11"/>
      <x:c r="D177" s="11"/>
      <x:c r="E177" s="12"/>
      <x:c r="F177" s="13"/>
      <x:c r="G177" s="13"/>
      <x:c r="H177" s="21" t="str">
        <x:f>IF(A177="","",COUNTIFS(Daily!$C$7:$C$206,A177,Daily!$B$7:$B$206,B177,Daily!$I$7:$I$206,"Accepted",Daily!$P$7:$P$206,"Recorded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7" s="22" t="str">
        <x:f>IF(A177="","",IF(H177=0,"",SUMIFS(Daily!$H$7:$H$206,Daily!$C$7:$C$206,A177,Daily!$B$7:$B$206,B177,Daily!$I$7:$I$206,"Accepted",Daily!$P$7:$P$206,"Recorded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7" s="23" t="str">
        <x:f>IF(A177="","",IF(OR(NOT(ISNUMBER(E177)),E177&lt;=0,I177=""),"",I177/E177))</x:f>
      </x:c>
      <x:c r="K177" s="23" t="str">
        <x:f>IF(A177="","",IF(OR(J177="",NOT(ISNUMBER(F177))),"",J177*F177))</x:f>
      </x:c>
      <x:c r="L177" s="23" t="str">
        <x:f>IF(A177="","",IF(OR(NOT(ISNUMBER(F177)),NOT(ISNUMBER(G177))),"",F177*G177))</x:f>
      </x:c>
      <x:c r="M177" s="11"/>
      <x:c r="N177" s="14"/>
      <x:c r="O177" s="11"/>
      <x:c r="P177" s="21" t="str">
        <x:f>IF(A177="","",IF(AND(COUNTIFS($A$7:$A$206,A177,$B$7:$B$206,B177)=1,B177=Setup!$B$4,D177&lt;&gt;"",ISNUMBER(E177),E177&gt;0,ISNUMBER(F177),F177&gt;=0,F177&lt;=1,ISNUMBER(G177),G177&gt;=0,G177&lt;=1,O177&lt;&gt;""),"Valid","Review baseline / ID / weight"))</x:f>
      </x:c>
    </x:row>
    <x:row r="178" ht="60" customHeight="1">
      <x:c r="A178" s="11"/>
      <x:c r="B178" s="11"/>
      <x:c r="C178" s="11"/>
      <x:c r="D178" s="11"/>
      <x:c r="E178" s="12"/>
      <x:c r="F178" s="13"/>
      <x:c r="G178" s="13"/>
      <x:c r="H178" s="21" t="str">
        <x:f>IF(A178="","",COUNTIFS(Daily!$C$7:$C$206,A178,Daily!$B$7:$B$206,B178,Daily!$I$7:$I$206,"Accepted",Daily!$P$7:$P$206,"Recorded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8" s="22" t="str">
        <x:f>IF(A178="","",IF(H178=0,"",SUMIFS(Daily!$H$7:$H$206,Daily!$C$7:$C$206,A178,Daily!$B$7:$B$206,B178,Daily!$I$7:$I$206,"Accepted",Daily!$P$7:$P$206,"Recorded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8" s="23" t="str">
        <x:f>IF(A178="","",IF(OR(NOT(ISNUMBER(E178)),E178&lt;=0,I178=""),"",I178/E178))</x:f>
      </x:c>
      <x:c r="K178" s="23" t="str">
        <x:f>IF(A178="","",IF(OR(J178="",NOT(ISNUMBER(F178))),"",J178*F178))</x:f>
      </x:c>
      <x:c r="L178" s="23" t="str">
        <x:f>IF(A178="","",IF(OR(NOT(ISNUMBER(F178)),NOT(ISNUMBER(G178))),"",F178*G178))</x:f>
      </x:c>
      <x:c r="M178" s="11"/>
      <x:c r="N178" s="14"/>
      <x:c r="O178" s="11"/>
      <x:c r="P178" s="21" t="str">
        <x:f>IF(A178="","",IF(AND(COUNTIFS($A$7:$A$206,A178,$B$7:$B$206,B178)=1,B178=Setup!$B$4,D178&lt;&gt;"",ISNUMBER(E178),E178&gt;0,ISNUMBER(F178),F178&gt;=0,F178&lt;=1,ISNUMBER(G178),G178&gt;=0,G178&lt;=1,O178&lt;&gt;""),"Valid","Review baseline / ID / weight"))</x:f>
      </x:c>
    </x:row>
    <x:row r="179" ht="60" customHeight="1">
      <x:c r="A179" s="11"/>
      <x:c r="B179" s="11"/>
      <x:c r="C179" s="11"/>
      <x:c r="D179" s="11"/>
      <x:c r="E179" s="12"/>
      <x:c r="F179" s="13"/>
      <x:c r="G179" s="13"/>
      <x:c r="H179" s="21" t="str">
        <x:f>IF(A179="","",COUNTIFS(Daily!$C$7:$C$206,A179,Daily!$B$7:$B$206,B179,Daily!$I$7:$I$206,"Accepted",Daily!$P$7:$P$206,"Recorded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9" s="22" t="str">
        <x:f>IF(A179="","",IF(H179=0,"",SUMIFS(Daily!$H$7:$H$206,Daily!$C$7:$C$206,A179,Daily!$B$7:$B$206,B179,Daily!$I$7:$I$206,"Accepted",Daily!$P$7:$P$206,"Recorded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9" s="23" t="str">
        <x:f>IF(A179="","",IF(OR(NOT(ISNUMBER(E179)),E179&lt;=0,I179=""),"",I179/E179))</x:f>
      </x:c>
      <x:c r="K179" s="23" t="str">
        <x:f>IF(A179="","",IF(OR(J179="",NOT(ISNUMBER(F179))),"",J179*F179))</x:f>
      </x:c>
      <x:c r="L179" s="23" t="str">
        <x:f>IF(A179="","",IF(OR(NOT(ISNUMBER(F179)),NOT(ISNUMBER(G179))),"",F179*G179))</x:f>
      </x:c>
      <x:c r="M179" s="11"/>
      <x:c r="N179" s="14"/>
      <x:c r="O179" s="11"/>
      <x:c r="P179" s="21" t="str">
        <x:f>IF(A179="","",IF(AND(COUNTIFS($A$7:$A$206,A179,$B$7:$B$206,B179)=1,B179=Setup!$B$4,D179&lt;&gt;"",ISNUMBER(E179),E179&gt;0,ISNUMBER(F179),F179&gt;=0,F179&lt;=1,ISNUMBER(G179),G179&gt;=0,G179&lt;=1,O179&lt;&gt;""),"Valid","Review baseline / ID / weight"))</x:f>
      </x:c>
    </x:row>
    <x:row r="180" ht="60" customHeight="1">
      <x:c r="A180" s="11"/>
      <x:c r="B180" s="11"/>
      <x:c r="C180" s="11"/>
      <x:c r="D180" s="11"/>
      <x:c r="E180" s="12"/>
      <x:c r="F180" s="13"/>
      <x:c r="G180" s="13"/>
      <x:c r="H180" s="21" t="str">
        <x:f>IF(A180="","",COUNTIFS(Daily!$C$7:$C$206,A180,Daily!$B$7:$B$206,B180,Daily!$I$7:$I$206,"Accepted",Daily!$P$7:$P$206,"Recorded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0" s="22" t="str">
        <x:f>IF(A180="","",IF(H180=0,"",SUMIFS(Daily!$H$7:$H$206,Daily!$C$7:$C$206,A180,Daily!$B$7:$B$206,B180,Daily!$I$7:$I$206,"Accepted",Daily!$P$7:$P$206,"Recorded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0" s="23" t="str">
        <x:f>IF(A180="","",IF(OR(NOT(ISNUMBER(E180)),E180&lt;=0,I180=""),"",I180/E180))</x:f>
      </x:c>
      <x:c r="K180" s="23" t="str">
        <x:f>IF(A180="","",IF(OR(J180="",NOT(ISNUMBER(F180))),"",J180*F180))</x:f>
      </x:c>
      <x:c r="L180" s="23" t="str">
        <x:f>IF(A180="","",IF(OR(NOT(ISNUMBER(F180)),NOT(ISNUMBER(G180))),"",F180*G180))</x:f>
      </x:c>
      <x:c r="M180" s="11"/>
      <x:c r="N180" s="14"/>
      <x:c r="O180" s="11"/>
      <x:c r="P180" s="21" t="str">
        <x:f>IF(A180="","",IF(AND(COUNTIFS($A$7:$A$206,A180,$B$7:$B$206,B180)=1,B180=Setup!$B$4,D180&lt;&gt;"",ISNUMBER(E180),E180&gt;0,ISNUMBER(F180),F180&gt;=0,F180&lt;=1,ISNUMBER(G180),G180&gt;=0,G180&lt;=1,O180&lt;&gt;""),"Valid","Review baseline / ID / weight"))</x:f>
      </x:c>
    </x:row>
    <x:row r="181" ht="60" customHeight="1">
      <x:c r="A181" s="11"/>
      <x:c r="B181" s="11"/>
      <x:c r="C181" s="11"/>
      <x:c r="D181" s="11"/>
      <x:c r="E181" s="12"/>
      <x:c r="F181" s="13"/>
      <x:c r="G181" s="13"/>
      <x:c r="H181" s="21" t="str">
        <x:f>IF(A181="","",COUNTIFS(Daily!$C$7:$C$206,A181,Daily!$B$7:$B$206,B181,Daily!$I$7:$I$206,"Accepted",Daily!$P$7:$P$206,"Recorded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1" s="22" t="str">
        <x:f>IF(A181="","",IF(H181=0,"",SUMIFS(Daily!$H$7:$H$206,Daily!$C$7:$C$206,A181,Daily!$B$7:$B$206,B181,Daily!$I$7:$I$206,"Accepted",Daily!$P$7:$P$206,"Recorded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1" s="23" t="str">
        <x:f>IF(A181="","",IF(OR(NOT(ISNUMBER(E181)),E181&lt;=0,I181=""),"",I181/E181))</x:f>
      </x:c>
      <x:c r="K181" s="23" t="str">
        <x:f>IF(A181="","",IF(OR(J181="",NOT(ISNUMBER(F181))),"",J181*F181))</x:f>
      </x:c>
      <x:c r="L181" s="23" t="str">
        <x:f>IF(A181="","",IF(OR(NOT(ISNUMBER(F181)),NOT(ISNUMBER(G181))),"",F181*G181))</x:f>
      </x:c>
      <x:c r="M181" s="11"/>
      <x:c r="N181" s="14"/>
      <x:c r="O181" s="11"/>
      <x:c r="P181" s="21" t="str">
        <x:f>IF(A181="","",IF(AND(COUNTIFS($A$7:$A$206,A181,$B$7:$B$206,B181)=1,B181=Setup!$B$4,D181&lt;&gt;"",ISNUMBER(E181),E181&gt;0,ISNUMBER(F181),F181&gt;=0,F181&lt;=1,ISNUMBER(G181),G181&gt;=0,G181&lt;=1,O181&lt;&gt;""),"Valid","Review baseline / ID / weight"))</x:f>
      </x:c>
    </x:row>
    <x:row r="182" ht="60" customHeight="1">
      <x:c r="A182" s="11"/>
      <x:c r="B182" s="11"/>
      <x:c r="C182" s="11"/>
      <x:c r="D182" s="11"/>
      <x:c r="E182" s="12"/>
      <x:c r="F182" s="13"/>
      <x:c r="G182" s="13"/>
      <x:c r="H182" s="21" t="str">
        <x:f>IF(A182="","",COUNTIFS(Daily!$C$7:$C$206,A182,Daily!$B$7:$B$206,B182,Daily!$I$7:$I$206,"Accepted",Daily!$P$7:$P$206,"Recorded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2" s="22" t="str">
        <x:f>IF(A182="","",IF(H182=0,"",SUMIFS(Daily!$H$7:$H$206,Daily!$C$7:$C$206,A182,Daily!$B$7:$B$206,B182,Daily!$I$7:$I$206,"Accepted",Daily!$P$7:$P$206,"Recorded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2" s="23" t="str">
        <x:f>IF(A182="","",IF(OR(NOT(ISNUMBER(E182)),E182&lt;=0,I182=""),"",I182/E182))</x:f>
      </x:c>
      <x:c r="K182" s="23" t="str">
        <x:f>IF(A182="","",IF(OR(J182="",NOT(ISNUMBER(F182))),"",J182*F182))</x:f>
      </x:c>
      <x:c r="L182" s="23" t="str">
        <x:f>IF(A182="","",IF(OR(NOT(ISNUMBER(F182)),NOT(ISNUMBER(G182))),"",F182*G182))</x:f>
      </x:c>
      <x:c r="M182" s="11"/>
      <x:c r="N182" s="14"/>
      <x:c r="O182" s="11"/>
      <x:c r="P182" s="21" t="str">
        <x:f>IF(A182="","",IF(AND(COUNTIFS($A$7:$A$206,A182,$B$7:$B$206,B182)=1,B182=Setup!$B$4,D182&lt;&gt;"",ISNUMBER(E182),E182&gt;0,ISNUMBER(F182),F182&gt;=0,F182&lt;=1,ISNUMBER(G182),G182&gt;=0,G182&lt;=1,O182&lt;&gt;""),"Valid","Review baseline / ID / weight"))</x:f>
      </x:c>
    </x:row>
    <x:row r="183" ht="60" customHeight="1">
      <x:c r="A183" s="11"/>
      <x:c r="B183" s="11"/>
      <x:c r="C183" s="11"/>
      <x:c r="D183" s="11"/>
      <x:c r="E183" s="12"/>
      <x:c r="F183" s="13"/>
      <x:c r="G183" s="13"/>
      <x:c r="H183" s="21" t="str">
        <x:f>IF(A183="","",COUNTIFS(Daily!$C$7:$C$206,A183,Daily!$B$7:$B$206,B183,Daily!$I$7:$I$206,"Accepted",Daily!$P$7:$P$206,"Recorded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3" s="22" t="str">
        <x:f>IF(A183="","",IF(H183=0,"",SUMIFS(Daily!$H$7:$H$206,Daily!$C$7:$C$206,A183,Daily!$B$7:$B$206,B183,Daily!$I$7:$I$206,"Accepted",Daily!$P$7:$P$206,"Recorded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3" s="23" t="str">
        <x:f>IF(A183="","",IF(OR(NOT(ISNUMBER(E183)),E183&lt;=0,I183=""),"",I183/E183))</x:f>
      </x:c>
      <x:c r="K183" s="23" t="str">
        <x:f>IF(A183="","",IF(OR(J183="",NOT(ISNUMBER(F183))),"",J183*F183))</x:f>
      </x:c>
      <x:c r="L183" s="23" t="str">
        <x:f>IF(A183="","",IF(OR(NOT(ISNUMBER(F183)),NOT(ISNUMBER(G183))),"",F183*G183))</x:f>
      </x:c>
      <x:c r="M183" s="11"/>
      <x:c r="N183" s="14"/>
      <x:c r="O183" s="11"/>
      <x:c r="P183" s="21" t="str">
        <x:f>IF(A183="","",IF(AND(COUNTIFS($A$7:$A$206,A183,$B$7:$B$206,B183)=1,B183=Setup!$B$4,D183&lt;&gt;"",ISNUMBER(E183),E183&gt;0,ISNUMBER(F183),F183&gt;=0,F183&lt;=1,ISNUMBER(G183),G183&gt;=0,G183&lt;=1,O183&lt;&gt;""),"Valid","Review baseline / ID / weight"))</x:f>
      </x:c>
    </x:row>
    <x:row r="184" ht="60" customHeight="1">
      <x:c r="A184" s="11"/>
      <x:c r="B184" s="11"/>
      <x:c r="C184" s="11"/>
      <x:c r="D184" s="11"/>
      <x:c r="E184" s="12"/>
      <x:c r="F184" s="13"/>
      <x:c r="G184" s="13"/>
      <x:c r="H184" s="21" t="str">
        <x:f>IF(A184="","",COUNTIFS(Daily!$C$7:$C$206,A184,Daily!$B$7:$B$206,B184,Daily!$I$7:$I$206,"Accepted",Daily!$P$7:$P$206,"Recorded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4" s="22" t="str">
        <x:f>IF(A184="","",IF(H184=0,"",SUMIFS(Daily!$H$7:$H$206,Daily!$C$7:$C$206,A184,Daily!$B$7:$B$206,B184,Daily!$I$7:$I$206,"Accepted",Daily!$P$7:$P$206,"Recorded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4" s="23" t="str">
        <x:f>IF(A184="","",IF(OR(NOT(ISNUMBER(E184)),E184&lt;=0,I184=""),"",I184/E184))</x:f>
      </x:c>
      <x:c r="K184" s="23" t="str">
        <x:f>IF(A184="","",IF(OR(J184="",NOT(ISNUMBER(F184))),"",J184*F184))</x:f>
      </x:c>
      <x:c r="L184" s="23" t="str">
        <x:f>IF(A184="","",IF(OR(NOT(ISNUMBER(F184)),NOT(ISNUMBER(G184))),"",F184*G184))</x:f>
      </x:c>
      <x:c r="M184" s="11"/>
      <x:c r="N184" s="14"/>
      <x:c r="O184" s="11"/>
      <x:c r="P184" s="21" t="str">
        <x:f>IF(A184="","",IF(AND(COUNTIFS($A$7:$A$206,A184,$B$7:$B$206,B184)=1,B184=Setup!$B$4,D184&lt;&gt;"",ISNUMBER(E184),E184&gt;0,ISNUMBER(F184),F184&gt;=0,F184&lt;=1,ISNUMBER(G184),G184&gt;=0,G184&lt;=1,O184&lt;&gt;""),"Valid","Review baseline / ID / weight"))</x:f>
      </x:c>
    </x:row>
    <x:row r="185" ht="60" customHeight="1">
      <x:c r="A185" s="11"/>
      <x:c r="B185" s="11"/>
      <x:c r="C185" s="11"/>
      <x:c r="D185" s="11"/>
      <x:c r="E185" s="12"/>
      <x:c r="F185" s="13"/>
      <x:c r="G185" s="13"/>
      <x:c r="H185" s="21" t="str">
        <x:f>IF(A185="","",COUNTIFS(Daily!$C$7:$C$206,A185,Daily!$B$7:$B$206,B185,Daily!$I$7:$I$206,"Accepted",Daily!$P$7:$P$206,"Recorded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5" s="22" t="str">
        <x:f>IF(A185="","",IF(H185=0,"",SUMIFS(Daily!$H$7:$H$206,Daily!$C$7:$C$206,A185,Daily!$B$7:$B$206,B185,Daily!$I$7:$I$206,"Accepted",Daily!$P$7:$P$206,"Recorded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5" s="23" t="str">
        <x:f>IF(A185="","",IF(OR(NOT(ISNUMBER(E185)),E185&lt;=0,I185=""),"",I185/E185))</x:f>
      </x:c>
      <x:c r="K185" s="23" t="str">
        <x:f>IF(A185="","",IF(OR(J185="",NOT(ISNUMBER(F185))),"",J185*F185))</x:f>
      </x:c>
      <x:c r="L185" s="23" t="str">
        <x:f>IF(A185="","",IF(OR(NOT(ISNUMBER(F185)),NOT(ISNUMBER(G185))),"",F185*G185))</x:f>
      </x:c>
      <x:c r="M185" s="11"/>
      <x:c r="N185" s="14"/>
      <x:c r="O185" s="11"/>
      <x:c r="P185" s="21" t="str">
        <x:f>IF(A185="","",IF(AND(COUNTIFS($A$7:$A$206,A185,$B$7:$B$206,B185)=1,B185=Setup!$B$4,D185&lt;&gt;"",ISNUMBER(E185),E185&gt;0,ISNUMBER(F185),F185&gt;=0,F185&lt;=1,ISNUMBER(G185),G185&gt;=0,G185&lt;=1,O185&lt;&gt;""),"Valid","Review baseline / ID / weight"))</x:f>
      </x:c>
    </x:row>
    <x:row r="186" ht="60" customHeight="1">
      <x:c r="A186" s="11"/>
      <x:c r="B186" s="11"/>
      <x:c r="C186" s="11"/>
      <x:c r="D186" s="11"/>
      <x:c r="E186" s="12"/>
      <x:c r="F186" s="13"/>
      <x:c r="G186" s="13"/>
      <x:c r="H186" s="21" t="str">
        <x:f>IF(A186="","",COUNTIFS(Daily!$C$7:$C$206,A186,Daily!$B$7:$B$206,B186,Daily!$I$7:$I$206,"Accepted",Daily!$P$7:$P$206,"Recorded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6" s="22" t="str">
        <x:f>IF(A186="","",IF(H186=0,"",SUMIFS(Daily!$H$7:$H$206,Daily!$C$7:$C$206,A186,Daily!$B$7:$B$206,B186,Daily!$I$7:$I$206,"Accepted",Daily!$P$7:$P$206,"Recorded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6" s="23" t="str">
        <x:f>IF(A186="","",IF(OR(NOT(ISNUMBER(E186)),E186&lt;=0,I186=""),"",I186/E186))</x:f>
      </x:c>
      <x:c r="K186" s="23" t="str">
        <x:f>IF(A186="","",IF(OR(J186="",NOT(ISNUMBER(F186))),"",J186*F186))</x:f>
      </x:c>
      <x:c r="L186" s="23" t="str">
        <x:f>IF(A186="","",IF(OR(NOT(ISNUMBER(F186)),NOT(ISNUMBER(G186))),"",F186*G186))</x:f>
      </x:c>
      <x:c r="M186" s="11"/>
      <x:c r="N186" s="14"/>
      <x:c r="O186" s="11"/>
      <x:c r="P186" s="21" t="str">
        <x:f>IF(A186="","",IF(AND(COUNTIFS($A$7:$A$206,A186,$B$7:$B$206,B186)=1,B186=Setup!$B$4,D186&lt;&gt;"",ISNUMBER(E186),E186&gt;0,ISNUMBER(F186),F186&gt;=0,F186&lt;=1,ISNUMBER(G186),G186&gt;=0,G186&lt;=1,O186&lt;&gt;""),"Valid","Review baseline / ID / weight"))</x:f>
      </x:c>
    </x:row>
    <x:row r="187" ht="60" customHeight="1">
      <x:c r="A187" s="11"/>
      <x:c r="B187" s="11"/>
      <x:c r="C187" s="11"/>
      <x:c r="D187" s="11"/>
      <x:c r="E187" s="12"/>
      <x:c r="F187" s="13"/>
      <x:c r="G187" s="13"/>
      <x:c r="H187" s="21" t="str">
        <x:f>IF(A187="","",COUNTIFS(Daily!$C$7:$C$206,A187,Daily!$B$7:$B$206,B187,Daily!$I$7:$I$206,"Accepted",Daily!$P$7:$P$206,"Recorded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7" s="22" t="str">
        <x:f>IF(A187="","",IF(H187=0,"",SUMIFS(Daily!$H$7:$H$206,Daily!$C$7:$C$206,A187,Daily!$B$7:$B$206,B187,Daily!$I$7:$I$206,"Accepted",Daily!$P$7:$P$206,"Recorded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7" s="23" t="str">
        <x:f>IF(A187="","",IF(OR(NOT(ISNUMBER(E187)),E187&lt;=0,I187=""),"",I187/E187))</x:f>
      </x:c>
      <x:c r="K187" s="23" t="str">
        <x:f>IF(A187="","",IF(OR(J187="",NOT(ISNUMBER(F187))),"",J187*F187))</x:f>
      </x:c>
      <x:c r="L187" s="23" t="str">
        <x:f>IF(A187="","",IF(OR(NOT(ISNUMBER(F187)),NOT(ISNUMBER(G187))),"",F187*G187))</x:f>
      </x:c>
      <x:c r="M187" s="11"/>
      <x:c r="N187" s="14"/>
      <x:c r="O187" s="11"/>
      <x:c r="P187" s="21" t="str">
        <x:f>IF(A187="","",IF(AND(COUNTIFS($A$7:$A$206,A187,$B$7:$B$206,B187)=1,B187=Setup!$B$4,D187&lt;&gt;"",ISNUMBER(E187),E187&gt;0,ISNUMBER(F187),F187&gt;=0,F187&lt;=1,ISNUMBER(G187),G187&gt;=0,G187&lt;=1,O187&lt;&gt;""),"Valid","Review baseline / ID / weight"))</x:f>
      </x:c>
    </x:row>
    <x:row r="188" ht="60" customHeight="1">
      <x:c r="A188" s="11"/>
      <x:c r="B188" s="11"/>
      <x:c r="C188" s="11"/>
      <x:c r="D188" s="11"/>
      <x:c r="E188" s="12"/>
      <x:c r="F188" s="13"/>
      <x:c r="G188" s="13"/>
      <x:c r="H188" s="21" t="str">
        <x:f>IF(A188="","",COUNTIFS(Daily!$C$7:$C$206,A188,Daily!$B$7:$B$206,B188,Daily!$I$7:$I$206,"Accepted",Daily!$P$7:$P$206,"Recorded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8" s="22" t="str">
        <x:f>IF(A188="","",IF(H188=0,"",SUMIFS(Daily!$H$7:$H$206,Daily!$C$7:$C$206,A188,Daily!$B$7:$B$206,B188,Daily!$I$7:$I$206,"Accepted",Daily!$P$7:$P$206,"Recorded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8" s="23" t="str">
        <x:f>IF(A188="","",IF(OR(NOT(ISNUMBER(E188)),E188&lt;=0,I188=""),"",I188/E188))</x:f>
      </x:c>
      <x:c r="K188" s="23" t="str">
        <x:f>IF(A188="","",IF(OR(J188="",NOT(ISNUMBER(F188))),"",J188*F188))</x:f>
      </x:c>
      <x:c r="L188" s="23" t="str">
        <x:f>IF(A188="","",IF(OR(NOT(ISNUMBER(F188)),NOT(ISNUMBER(G188))),"",F188*G188))</x:f>
      </x:c>
      <x:c r="M188" s="11"/>
      <x:c r="N188" s="14"/>
      <x:c r="O188" s="11"/>
      <x:c r="P188" s="21" t="str">
        <x:f>IF(A188="","",IF(AND(COUNTIFS($A$7:$A$206,A188,$B$7:$B$206,B188)=1,B188=Setup!$B$4,D188&lt;&gt;"",ISNUMBER(E188),E188&gt;0,ISNUMBER(F188),F188&gt;=0,F188&lt;=1,ISNUMBER(G188),G188&gt;=0,G188&lt;=1,O188&lt;&gt;""),"Valid","Review baseline / ID / weight"))</x:f>
      </x:c>
    </x:row>
    <x:row r="189" ht="60" customHeight="1">
      <x:c r="A189" s="11"/>
      <x:c r="B189" s="11"/>
      <x:c r="C189" s="11"/>
      <x:c r="D189" s="11"/>
      <x:c r="E189" s="12"/>
      <x:c r="F189" s="13"/>
      <x:c r="G189" s="13"/>
      <x:c r="H189" s="21" t="str">
        <x:f>IF(A189="","",COUNTIFS(Daily!$C$7:$C$206,A189,Daily!$B$7:$B$206,B189,Daily!$I$7:$I$206,"Accepted",Daily!$P$7:$P$206,"Recorded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9" s="22" t="str">
        <x:f>IF(A189="","",IF(H189=0,"",SUMIFS(Daily!$H$7:$H$206,Daily!$C$7:$C$206,A189,Daily!$B$7:$B$206,B189,Daily!$I$7:$I$206,"Accepted",Daily!$P$7:$P$206,"Recorded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9" s="23" t="str">
        <x:f>IF(A189="","",IF(OR(NOT(ISNUMBER(E189)),E189&lt;=0,I189=""),"",I189/E189))</x:f>
      </x:c>
      <x:c r="K189" s="23" t="str">
        <x:f>IF(A189="","",IF(OR(J189="",NOT(ISNUMBER(F189))),"",J189*F189))</x:f>
      </x:c>
      <x:c r="L189" s="23" t="str">
        <x:f>IF(A189="","",IF(OR(NOT(ISNUMBER(F189)),NOT(ISNUMBER(G189))),"",F189*G189))</x:f>
      </x:c>
      <x:c r="M189" s="11"/>
      <x:c r="N189" s="14"/>
      <x:c r="O189" s="11"/>
      <x:c r="P189" s="21" t="str">
        <x:f>IF(A189="","",IF(AND(COUNTIFS($A$7:$A$206,A189,$B$7:$B$206,B189)=1,B189=Setup!$B$4,D189&lt;&gt;"",ISNUMBER(E189),E189&gt;0,ISNUMBER(F189),F189&gt;=0,F189&lt;=1,ISNUMBER(G189),G189&gt;=0,G189&lt;=1,O189&lt;&gt;""),"Valid","Review baseline / ID / weight"))</x:f>
      </x:c>
    </x:row>
    <x:row r="190" ht="60" customHeight="1">
      <x:c r="A190" s="11"/>
      <x:c r="B190" s="11"/>
      <x:c r="C190" s="11"/>
      <x:c r="D190" s="11"/>
      <x:c r="E190" s="12"/>
      <x:c r="F190" s="13"/>
      <x:c r="G190" s="13"/>
      <x:c r="H190" s="21" t="str">
        <x:f>IF(A190="","",COUNTIFS(Daily!$C$7:$C$206,A190,Daily!$B$7:$B$206,B190,Daily!$I$7:$I$206,"Accepted",Daily!$P$7:$P$206,"Recorded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0" s="22" t="str">
        <x:f>IF(A190="","",IF(H190=0,"",SUMIFS(Daily!$H$7:$H$206,Daily!$C$7:$C$206,A190,Daily!$B$7:$B$206,B190,Daily!$I$7:$I$206,"Accepted",Daily!$P$7:$P$206,"Recorded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0" s="23" t="str">
        <x:f>IF(A190="","",IF(OR(NOT(ISNUMBER(E190)),E190&lt;=0,I190=""),"",I190/E190))</x:f>
      </x:c>
      <x:c r="K190" s="23" t="str">
        <x:f>IF(A190="","",IF(OR(J190="",NOT(ISNUMBER(F190))),"",J190*F190))</x:f>
      </x:c>
      <x:c r="L190" s="23" t="str">
        <x:f>IF(A190="","",IF(OR(NOT(ISNUMBER(F190)),NOT(ISNUMBER(G190))),"",F190*G190))</x:f>
      </x:c>
      <x:c r="M190" s="11"/>
      <x:c r="N190" s="14"/>
      <x:c r="O190" s="11"/>
      <x:c r="P190" s="21" t="str">
        <x:f>IF(A190="","",IF(AND(COUNTIFS($A$7:$A$206,A190,$B$7:$B$206,B190)=1,B190=Setup!$B$4,D190&lt;&gt;"",ISNUMBER(E190),E190&gt;0,ISNUMBER(F190),F190&gt;=0,F190&lt;=1,ISNUMBER(G190),G190&gt;=0,G190&lt;=1,O190&lt;&gt;""),"Valid","Review baseline / ID / weight"))</x:f>
      </x:c>
    </x:row>
    <x:row r="191" ht="60" customHeight="1">
      <x:c r="A191" s="11"/>
      <x:c r="B191" s="11"/>
      <x:c r="C191" s="11"/>
      <x:c r="D191" s="11"/>
      <x:c r="E191" s="12"/>
      <x:c r="F191" s="13"/>
      <x:c r="G191" s="13"/>
      <x:c r="H191" s="21" t="str">
        <x:f>IF(A191="","",COUNTIFS(Daily!$C$7:$C$206,A191,Daily!$B$7:$B$206,B191,Daily!$I$7:$I$206,"Accepted",Daily!$P$7:$P$206,"Recorded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1" s="22" t="str">
        <x:f>IF(A191="","",IF(H191=0,"",SUMIFS(Daily!$H$7:$H$206,Daily!$C$7:$C$206,A191,Daily!$B$7:$B$206,B191,Daily!$I$7:$I$206,"Accepted",Daily!$P$7:$P$206,"Recorded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1" s="23" t="str">
        <x:f>IF(A191="","",IF(OR(NOT(ISNUMBER(E191)),E191&lt;=0,I191=""),"",I191/E191))</x:f>
      </x:c>
      <x:c r="K191" s="23" t="str">
        <x:f>IF(A191="","",IF(OR(J191="",NOT(ISNUMBER(F191))),"",J191*F191))</x:f>
      </x:c>
      <x:c r="L191" s="23" t="str">
        <x:f>IF(A191="","",IF(OR(NOT(ISNUMBER(F191)),NOT(ISNUMBER(G191))),"",F191*G191))</x:f>
      </x:c>
      <x:c r="M191" s="11"/>
      <x:c r="N191" s="14"/>
      <x:c r="O191" s="11"/>
      <x:c r="P191" s="21" t="str">
        <x:f>IF(A191="","",IF(AND(COUNTIFS($A$7:$A$206,A191,$B$7:$B$206,B191)=1,B191=Setup!$B$4,D191&lt;&gt;"",ISNUMBER(E191),E191&gt;0,ISNUMBER(F191),F191&gt;=0,F191&lt;=1,ISNUMBER(G191),G191&gt;=0,G191&lt;=1,O191&lt;&gt;""),"Valid","Review baseline / ID / weight"))</x:f>
      </x:c>
    </x:row>
    <x:row r="192" ht="60" customHeight="1">
      <x:c r="A192" s="11"/>
      <x:c r="B192" s="11"/>
      <x:c r="C192" s="11"/>
      <x:c r="D192" s="11"/>
      <x:c r="E192" s="12"/>
      <x:c r="F192" s="13"/>
      <x:c r="G192" s="13"/>
      <x:c r="H192" s="21" t="str">
        <x:f>IF(A192="","",COUNTIFS(Daily!$C$7:$C$206,A192,Daily!$B$7:$B$206,B192,Daily!$I$7:$I$206,"Accepted",Daily!$P$7:$P$206,"Recorded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2" s="22" t="str">
        <x:f>IF(A192="","",IF(H192=0,"",SUMIFS(Daily!$H$7:$H$206,Daily!$C$7:$C$206,A192,Daily!$B$7:$B$206,B192,Daily!$I$7:$I$206,"Accepted",Daily!$P$7:$P$206,"Recorded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2" s="23" t="str">
        <x:f>IF(A192="","",IF(OR(NOT(ISNUMBER(E192)),E192&lt;=0,I192=""),"",I192/E192))</x:f>
      </x:c>
      <x:c r="K192" s="23" t="str">
        <x:f>IF(A192="","",IF(OR(J192="",NOT(ISNUMBER(F192))),"",J192*F192))</x:f>
      </x:c>
      <x:c r="L192" s="23" t="str">
        <x:f>IF(A192="","",IF(OR(NOT(ISNUMBER(F192)),NOT(ISNUMBER(G192))),"",F192*G192))</x:f>
      </x:c>
      <x:c r="M192" s="11"/>
      <x:c r="N192" s="14"/>
      <x:c r="O192" s="11"/>
      <x:c r="P192" s="21" t="str">
        <x:f>IF(A192="","",IF(AND(COUNTIFS($A$7:$A$206,A192,$B$7:$B$206,B192)=1,B192=Setup!$B$4,D192&lt;&gt;"",ISNUMBER(E192),E192&gt;0,ISNUMBER(F192),F192&gt;=0,F192&lt;=1,ISNUMBER(G192),G192&gt;=0,G192&lt;=1,O192&lt;&gt;""),"Valid","Review baseline / ID / weight"))</x:f>
      </x:c>
    </x:row>
    <x:row r="193" ht="60" customHeight="1">
      <x:c r="A193" s="11"/>
      <x:c r="B193" s="11"/>
      <x:c r="C193" s="11"/>
      <x:c r="D193" s="11"/>
      <x:c r="E193" s="12"/>
      <x:c r="F193" s="13"/>
      <x:c r="G193" s="13"/>
      <x:c r="H193" s="21" t="str">
        <x:f>IF(A193="","",COUNTIFS(Daily!$C$7:$C$206,A193,Daily!$B$7:$B$206,B193,Daily!$I$7:$I$206,"Accepted",Daily!$P$7:$P$206,"Recorded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3" s="22" t="str">
        <x:f>IF(A193="","",IF(H193=0,"",SUMIFS(Daily!$H$7:$H$206,Daily!$C$7:$C$206,A193,Daily!$B$7:$B$206,B193,Daily!$I$7:$I$206,"Accepted",Daily!$P$7:$P$206,"Recorded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3" s="23" t="str">
        <x:f>IF(A193="","",IF(OR(NOT(ISNUMBER(E193)),E193&lt;=0,I193=""),"",I193/E193))</x:f>
      </x:c>
      <x:c r="K193" s="23" t="str">
        <x:f>IF(A193="","",IF(OR(J193="",NOT(ISNUMBER(F193))),"",J193*F193))</x:f>
      </x:c>
      <x:c r="L193" s="23" t="str">
        <x:f>IF(A193="","",IF(OR(NOT(ISNUMBER(F193)),NOT(ISNUMBER(G193))),"",F193*G193))</x:f>
      </x:c>
      <x:c r="M193" s="11"/>
      <x:c r="N193" s="14"/>
      <x:c r="O193" s="11"/>
      <x:c r="P193" s="21" t="str">
        <x:f>IF(A193="","",IF(AND(COUNTIFS($A$7:$A$206,A193,$B$7:$B$206,B193)=1,B193=Setup!$B$4,D193&lt;&gt;"",ISNUMBER(E193),E193&gt;0,ISNUMBER(F193),F193&gt;=0,F193&lt;=1,ISNUMBER(G193),G193&gt;=0,G193&lt;=1,O193&lt;&gt;""),"Valid","Review baseline / ID / weight"))</x:f>
      </x:c>
    </x:row>
    <x:row r="194" ht="60" customHeight="1">
      <x:c r="A194" s="11"/>
      <x:c r="B194" s="11"/>
      <x:c r="C194" s="11"/>
      <x:c r="D194" s="11"/>
      <x:c r="E194" s="12"/>
      <x:c r="F194" s="13"/>
      <x:c r="G194" s="13"/>
      <x:c r="H194" s="21" t="str">
        <x:f>IF(A194="","",COUNTIFS(Daily!$C$7:$C$206,A194,Daily!$B$7:$B$206,B194,Daily!$I$7:$I$206,"Accepted",Daily!$P$7:$P$206,"Recorded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4" s="22" t="str">
        <x:f>IF(A194="","",IF(H194=0,"",SUMIFS(Daily!$H$7:$H$206,Daily!$C$7:$C$206,A194,Daily!$B$7:$B$206,B194,Daily!$I$7:$I$206,"Accepted",Daily!$P$7:$P$206,"Recorded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4" s="23" t="str">
        <x:f>IF(A194="","",IF(OR(NOT(ISNUMBER(E194)),E194&lt;=0,I194=""),"",I194/E194))</x:f>
      </x:c>
      <x:c r="K194" s="23" t="str">
        <x:f>IF(A194="","",IF(OR(J194="",NOT(ISNUMBER(F194))),"",J194*F194))</x:f>
      </x:c>
      <x:c r="L194" s="23" t="str">
        <x:f>IF(A194="","",IF(OR(NOT(ISNUMBER(F194)),NOT(ISNUMBER(G194))),"",F194*G194))</x:f>
      </x:c>
      <x:c r="M194" s="11"/>
      <x:c r="N194" s="14"/>
      <x:c r="O194" s="11"/>
      <x:c r="P194" s="21" t="str">
        <x:f>IF(A194="","",IF(AND(COUNTIFS($A$7:$A$206,A194,$B$7:$B$206,B194)=1,B194=Setup!$B$4,D194&lt;&gt;"",ISNUMBER(E194),E194&gt;0,ISNUMBER(F194),F194&gt;=0,F194&lt;=1,ISNUMBER(G194),G194&gt;=0,G194&lt;=1,O194&lt;&gt;""),"Valid","Review baseline / ID / weight"))</x:f>
      </x:c>
    </x:row>
    <x:row r="195" ht="60" customHeight="1">
      <x:c r="A195" s="11"/>
      <x:c r="B195" s="11"/>
      <x:c r="C195" s="11"/>
      <x:c r="D195" s="11"/>
      <x:c r="E195" s="12"/>
      <x:c r="F195" s="13"/>
      <x:c r="G195" s="13"/>
      <x:c r="H195" s="21" t="str">
        <x:f>IF(A195="","",COUNTIFS(Daily!$C$7:$C$206,A195,Daily!$B$7:$B$206,B195,Daily!$I$7:$I$206,"Accepted",Daily!$P$7:$P$206,"Recorded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5" s="22" t="str">
        <x:f>IF(A195="","",IF(H195=0,"",SUMIFS(Daily!$H$7:$H$206,Daily!$C$7:$C$206,A195,Daily!$B$7:$B$206,B195,Daily!$I$7:$I$206,"Accepted",Daily!$P$7:$P$206,"Recorded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5" s="23" t="str">
        <x:f>IF(A195="","",IF(OR(NOT(ISNUMBER(E195)),E195&lt;=0,I195=""),"",I195/E195))</x:f>
      </x:c>
      <x:c r="K195" s="23" t="str">
        <x:f>IF(A195="","",IF(OR(J195="",NOT(ISNUMBER(F195))),"",J195*F195))</x:f>
      </x:c>
      <x:c r="L195" s="23" t="str">
        <x:f>IF(A195="","",IF(OR(NOT(ISNUMBER(F195)),NOT(ISNUMBER(G195))),"",F195*G195))</x:f>
      </x:c>
      <x:c r="M195" s="11"/>
      <x:c r="N195" s="14"/>
      <x:c r="O195" s="11"/>
      <x:c r="P195" s="21" t="str">
        <x:f>IF(A195="","",IF(AND(COUNTIFS($A$7:$A$206,A195,$B$7:$B$206,B195)=1,B195=Setup!$B$4,D195&lt;&gt;"",ISNUMBER(E195),E195&gt;0,ISNUMBER(F195),F195&gt;=0,F195&lt;=1,ISNUMBER(G195),G195&gt;=0,G195&lt;=1,O195&lt;&gt;""),"Valid","Review baseline / ID / weight"))</x:f>
      </x:c>
    </x:row>
    <x:row r="196" ht="60" customHeight="1">
      <x:c r="A196" s="11"/>
      <x:c r="B196" s="11"/>
      <x:c r="C196" s="11"/>
      <x:c r="D196" s="11"/>
      <x:c r="E196" s="12"/>
      <x:c r="F196" s="13"/>
      <x:c r="G196" s="13"/>
      <x:c r="H196" s="21" t="str">
        <x:f>IF(A196="","",COUNTIFS(Daily!$C$7:$C$206,A196,Daily!$B$7:$B$206,B196,Daily!$I$7:$I$206,"Accepted",Daily!$P$7:$P$206,"Recorded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6" s="22" t="str">
        <x:f>IF(A196="","",IF(H196=0,"",SUMIFS(Daily!$H$7:$H$206,Daily!$C$7:$C$206,A196,Daily!$B$7:$B$206,B196,Daily!$I$7:$I$206,"Accepted",Daily!$P$7:$P$206,"Recorded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6" s="23" t="str">
        <x:f>IF(A196="","",IF(OR(NOT(ISNUMBER(E196)),E196&lt;=0,I196=""),"",I196/E196))</x:f>
      </x:c>
      <x:c r="K196" s="23" t="str">
        <x:f>IF(A196="","",IF(OR(J196="",NOT(ISNUMBER(F196))),"",J196*F196))</x:f>
      </x:c>
      <x:c r="L196" s="23" t="str">
        <x:f>IF(A196="","",IF(OR(NOT(ISNUMBER(F196)),NOT(ISNUMBER(G196))),"",F196*G196))</x:f>
      </x:c>
      <x:c r="M196" s="11"/>
      <x:c r="N196" s="14"/>
      <x:c r="O196" s="11"/>
      <x:c r="P196" s="21" t="str">
        <x:f>IF(A196="","",IF(AND(COUNTIFS($A$7:$A$206,A196,$B$7:$B$206,B196)=1,B196=Setup!$B$4,D196&lt;&gt;"",ISNUMBER(E196),E196&gt;0,ISNUMBER(F196),F196&gt;=0,F196&lt;=1,ISNUMBER(G196),G196&gt;=0,G196&lt;=1,O196&lt;&gt;""),"Valid","Review baseline / ID / weight"))</x:f>
      </x:c>
    </x:row>
    <x:row r="197" ht="60" customHeight="1">
      <x:c r="A197" s="11"/>
      <x:c r="B197" s="11"/>
      <x:c r="C197" s="11"/>
      <x:c r="D197" s="11"/>
      <x:c r="E197" s="12"/>
      <x:c r="F197" s="13"/>
      <x:c r="G197" s="13"/>
      <x:c r="H197" s="21" t="str">
        <x:f>IF(A197="","",COUNTIFS(Daily!$C$7:$C$206,A197,Daily!$B$7:$B$206,B197,Daily!$I$7:$I$206,"Accepted",Daily!$P$7:$P$206,"Recorded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7" s="22" t="str">
        <x:f>IF(A197="","",IF(H197=0,"",SUMIFS(Daily!$H$7:$H$206,Daily!$C$7:$C$206,A197,Daily!$B$7:$B$206,B197,Daily!$I$7:$I$206,"Accepted",Daily!$P$7:$P$206,"Recorded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7" s="23" t="str">
        <x:f>IF(A197="","",IF(OR(NOT(ISNUMBER(E197)),E197&lt;=0,I197=""),"",I197/E197))</x:f>
      </x:c>
      <x:c r="K197" s="23" t="str">
        <x:f>IF(A197="","",IF(OR(J197="",NOT(ISNUMBER(F197))),"",J197*F197))</x:f>
      </x:c>
      <x:c r="L197" s="23" t="str">
        <x:f>IF(A197="","",IF(OR(NOT(ISNUMBER(F197)),NOT(ISNUMBER(G197))),"",F197*G197))</x:f>
      </x:c>
      <x:c r="M197" s="11"/>
      <x:c r="N197" s="14"/>
      <x:c r="O197" s="11"/>
      <x:c r="P197" s="21" t="str">
        <x:f>IF(A197="","",IF(AND(COUNTIFS($A$7:$A$206,A197,$B$7:$B$206,B197)=1,B197=Setup!$B$4,D197&lt;&gt;"",ISNUMBER(E197),E197&gt;0,ISNUMBER(F197),F197&gt;=0,F197&lt;=1,ISNUMBER(G197),G197&gt;=0,G197&lt;=1,O197&lt;&gt;""),"Valid","Review baseline / ID / weight"))</x:f>
      </x:c>
    </x:row>
    <x:row r="198" ht="60" customHeight="1">
      <x:c r="A198" s="11"/>
      <x:c r="B198" s="11"/>
      <x:c r="C198" s="11"/>
      <x:c r="D198" s="11"/>
      <x:c r="E198" s="12"/>
      <x:c r="F198" s="13"/>
      <x:c r="G198" s="13"/>
      <x:c r="H198" s="21" t="str">
        <x:f>IF(A198="","",COUNTIFS(Daily!$C$7:$C$206,A198,Daily!$B$7:$B$206,B198,Daily!$I$7:$I$206,"Accepted",Daily!$P$7:$P$206,"Recorded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8" s="22" t="str">
        <x:f>IF(A198="","",IF(H198=0,"",SUMIFS(Daily!$H$7:$H$206,Daily!$C$7:$C$206,A198,Daily!$B$7:$B$206,B198,Daily!$I$7:$I$206,"Accepted",Daily!$P$7:$P$206,"Recorded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8" s="23" t="str">
        <x:f>IF(A198="","",IF(OR(NOT(ISNUMBER(E198)),E198&lt;=0,I198=""),"",I198/E198))</x:f>
      </x:c>
      <x:c r="K198" s="23" t="str">
        <x:f>IF(A198="","",IF(OR(J198="",NOT(ISNUMBER(F198))),"",J198*F198))</x:f>
      </x:c>
      <x:c r="L198" s="23" t="str">
        <x:f>IF(A198="","",IF(OR(NOT(ISNUMBER(F198)),NOT(ISNUMBER(G198))),"",F198*G198))</x:f>
      </x:c>
      <x:c r="M198" s="11"/>
      <x:c r="N198" s="14"/>
      <x:c r="O198" s="11"/>
      <x:c r="P198" s="21" t="str">
        <x:f>IF(A198="","",IF(AND(COUNTIFS($A$7:$A$206,A198,$B$7:$B$206,B198)=1,B198=Setup!$B$4,D198&lt;&gt;"",ISNUMBER(E198),E198&gt;0,ISNUMBER(F198),F198&gt;=0,F198&lt;=1,ISNUMBER(G198),G198&gt;=0,G198&lt;=1,O198&lt;&gt;""),"Valid","Review baseline / ID / weight"))</x:f>
      </x:c>
    </x:row>
    <x:row r="199" ht="60" customHeight="1">
      <x:c r="A199" s="11"/>
      <x:c r="B199" s="11"/>
      <x:c r="C199" s="11"/>
      <x:c r="D199" s="11"/>
      <x:c r="E199" s="12"/>
      <x:c r="F199" s="13"/>
      <x:c r="G199" s="13"/>
      <x:c r="H199" s="21" t="str">
        <x:f>IF(A199="","",COUNTIFS(Daily!$C$7:$C$206,A199,Daily!$B$7:$B$206,B199,Daily!$I$7:$I$206,"Accepted",Daily!$P$7:$P$206,"Recorded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9" s="22" t="str">
        <x:f>IF(A199="","",IF(H199=0,"",SUMIFS(Daily!$H$7:$H$206,Daily!$C$7:$C$206,A199,Daily!$B$7:$B$206,B199,Daily!$I$7:$I$206,"Accepted",Daily!$P$7:$P$206,"Recorded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9" s="23" t="str">
        <x:f>IF(A199="","",IF(OR(NOT(ISNUMBER(E199)),E199&lt;=0,I199=""),"",I199/E199))</x:f>
      </x:c>
      <x:c r="K199" s="23" t="str">
        <x:f>IF(A199="","",IF(OR(J199="",NOT(ISNUMBER(F199))),"",J199*F199))</x:f>
      </x:c>
      <x:c r="L199" s="23" t="str">
        <x:f>IF(A199="","",IF(OR(NOT(ISNUMBER(F199)),NOT(ISNUMBER(G199))),"",F199*G199))</x:f>
      </x:c>
      <x:c r="M199" s="11"/>
      <x:c r="N199" s="14"/>
      <x:c r="O199" s="11"/>
      <x:c r="P199" s="21" t="str">
        <x:f>IF(A199="","",IF(AND(COUNTIFS($A$7:$A$206,A199,$B$7:$B$206,B199)=1,B199=Setup!$B$4,D199&lt;&gt;"",ISNUMBER(E199),E199&gt;0,ISNUMBER(F199),F199&gt;=0,F199&lt;=1,ISNUMBER(G199),G199&gt;=0,G199&lt;=1,O199&lt;&gt;""),"Valid","Review baseline / ID / weight"))</x:f>
      </x:c>
    </x:row>
    <x:row r="200" ht="60" customHeight="1">
      <x:c r="A200" s="11"/>
      <x:c r="B200" s="11"/>
      <x:c r="C200" s="11"/>
      <x:c r="D200" s="11"/>
      <x:c r="E200" s="12"/>
      <x:c r="F200" s="13"/>
      <x:c r="G200" s="13"/>
      <x:c r="H200" s="21" t="str">
        <x:f>IF(A200="","",COUNTIFS(Daily!$C$7:$C$206,A200,Daily!$B$7:$B$206,B200,Daily!$I$7:$I$206,"Accepted",Daily!$P$7:$P$206,"Recorded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0" s="22" t="str">
        <x:f>IF(A200="","",IF(H200=0,"",SUMIFS(Daily!$H$7:$H$206,Daily!$C$7:$C$206,A200,Daily!$B$7:$B$206,B200,Daily!$I$7:$I$206,"Accepted",Daily!$P$7:$P$206,"Recorded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0" s="23" t="str">
        <x:f>IF(A200="","",IF(OR(NOT(ISNUMBER(E200)),E200&lt;=0,I200=""),"",I200/E200))</x:f>
      </x:c>
      <x:c r="K200" s="23" t="str">
        <x:f>IF(A200="","",IF(OR(J200="",NOT(ISNUMBER(F200))),"",J200*F200))</x:f>
      </x:c>
      <x:c r="L200" s="23" t="str">
        <x:f>IF(A200="","",IF(OR(NOT(ISNUMBER(F200)),NOT(ISNUMBER(G200))),"",F200*G200))</x:f>
      </x:c>
      <x:c r="M200" s="11"/>
      <x:c r="N200" s="14"/>
      <x:c r="O200" s="11"/>
      <x:c r="P200" s="21" t="str">
        <x:f>IF(A200="","",IF(AND(COUNTIFS($A$7:$A$206,A200,$B$7:$B$206,B200)=1,B200=Setup!$B$4,D200&lt;&gt;"",ISNUMBER(E200),E200&gt;0,ISNUMBER(F200),F200&gt;=0,F200&lt;=1,ISNUMBER(G200),G200&gt;=0,G200&lt;=1,O200&lt;&gt;""),"Valid","Review baseline / ID / weight"))</x:f>
      </x:c>
    </x:row>
    <x:row r="201" ht="60" customHeight="1">
      <x:c r="A201" s="11"/>
      <x:c r="B201" s="11"/>
      <x:c r="C201" s="11"/>
      <x:c r="D201" s="11"/>
      <x:c r="E201" s="12"/>
      <x:c r="F201" s="13"/>
      <x:c r="G201" s="13"/>
      <x:c r="H201" s="21" t="str">
        <x:f>IF(A201="","",COUNTIFS(Daily!$C$7:$C$206,A201,Daily!$B$7:$B$206,B201,Daily!$I$7:$I$206,"Accepted",Daily!$P$7:$P$206,"Recorded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1" s="22" t="str">
        <x:f>IF(A201="","",IF(H201=0,"",SUMIFS(Daily!$H$7:$H$206,Daily!$C$7:$C$206,A201,Daily!$B$7:$B$206,B201,Daily!$I$7:$I$206,"Accepted",Daily!$P$7:$P$206,"Recorded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1" s="23" t="str">
        <x:f>IF(A201="","",IF(OR(NOT(ISNUMBER(E201)),E201&lt;=0,I201=""),"",I201/E201))</x:f>
      </x:c>
      <x:c r="K201" s="23" t="str">
        <x:f>IF(A201="","",IF(OR(J201="",NOT(ISNUMBER(F201))),"",J201*F201))</x:f>
      </x:c>
      <x:c r="L201" s="23" t="str">
        <x:f>IF(A201="","",IF(OR(NOT(ISNUMBER(F201)),NOT(ISNUMBER(G201))),"",F201*G201))</x:f>
      </x:c>
      <x:c r="M201" s="11"/>
      <x:c r="N201" s="14"/>
      <x:c r="O201" s="11"/>
      <x:c r="P201" s="21" t="str">
        <x:f>IF(A201="","",IF(AND(COUNTIFS($A$7:$A$206,A201,$B$7:$B$206,B201)=1,B201=Setup!$B$4,D201&lt;&gt;"",ISNUMBER(E201),E201&gt;0,ISNUMBER(F201),F201&gt;=0,F201&lt;=1,ISNUMBER(G201),G201&gt;=0,G201&lt;=1,O201&lt;&gt;""),"Valid","Review baseline / ID / weight"))</x:f>
      </x:c>
    </x:row>
    <x:row r="202" ht="60" customHeight="1">
      <x:c r="A202" s="11"/>
      <x:c r="B202" s="11"/>
      <x:c r="C202" s="11"/>
      <x:c r="D202" s="11"/>
      <x:c r="E202" s="12"/>
      <x:c r="F202" s="13"/>
      <x:c r="G202" s="13"/>
      <x:c r="H202" s="21" t="str">
        <x:f>IF(A202="","",COUNTIFS(Daily!$C$7:$C$206,A202,Daily!$B$7:$B$206,B202,Daily!$I$7:$I$206,"Accepted",Daily!$P$7:$P$206,"Recorded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2" s="22" t="str">
        <x:f>IF(A202="","",IF(H202=0,"",SUMIFS(Daily!$H$7:$H$206,Daily!$C$7:$C$206,A202,Daily!$B$7:$B$206,B202,Daily!$I$7:$I$206,"Accepted",Daily!$P$7:$P$206,"Recorded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2" s="23" t="str">
        <x:f>IF(A202="","",IF(OR(NOT(ISNUMBER(E202)),E202&lt;=0,I202=""),"",I202/E202))</x:f>
      </x:c>
      <x:c r="K202" s="23" t="str">
        <x:f>IF(A202="","",IF(OR(J202="",NOT(ISNUMBER(F202))),"",J202*F202))</x:f>
      </x:c>
      <x:c r="L202" s="23" t="str">
        <x:f>IF(A202="","",IF(OR(NOT(ISNUMBER(F202)),NOT(ISNUMBER(G202))),"",F202*G202))</x:f>
      </x:c>
      <x:c r="M202" s="11"/>
      <x:c r="N202" s="14"/>
      <x:c r="O202" s="11"/>
      <x:c r="P202" s="21" t="str">
        <x:f>IF(A202="","",IF(AND(COUNTIFS($A$7:$A$206,A202,$B$7:$B$206,B202)=1,B202=Setup!$B$4,D202&lt;&gt;"",ISNUMBER(E202),E202&gt;0,ISNUMBER(F202),F202&gt;=0,F202&lt;=1,ISNUMBER(G202),G202&gt;=0,G202&lt;=1,O202&lt;&gt;""),"Valid","Review baseline / ID / weight"))</x:f>
      </x:c>
    </x:row>
    <x:row r="203" ht="60" customHeight="1">
      <x:c r="A203" s="11"/>
      <x:c r="B203" s="11"/>
      <x:c r="C203" s="11"/>
      <x:c r="D203" s="11"/>
      <x:c r="E203" s="12"/>
      <x:c r="F203" s="13"/>
      <x:c r="G203" s="13"/>
      <x:c r="H203" s="21" t="str">
        <x:f>IF(A203="","",COUNTIFS(Daily!$C$7:$C$206,A203,Daily!$B$7:$B$206,B203,Daily!$I$7:$I$206,"Accepted",Daily!$P$7:$P$206,"Recorded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3" s="22" t="str">
        <x:f>IF(A203="","",IF(H203=0,"",SUMIFS(Daily!$H$7:$H$206,Daily!$C$7:$C$206,A203,Daily!$B$7:$B$206,B203,Daily!$I$7:$I$206,"Accepted",Daily!$P$7:$P$206,"Recorded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3" s="23" t="str">
        <x:f>IF(A203="","",IF(OR(NOT(ISNUMBER(E203)),E203&lt;=0,I203=""),"",I203/E203))</x:f>
      </x:c>
      <x:c r="K203" s="23" t="str">
        <x:f>IF(A203="","",IF(OR(J203="",NOT(ISNUMBER(F203))),"",J203*F203))</x:f>
      </x:c>
      <x:c r="L203" s="23" t="str">
        <x:f>IF(A203="","",IF(OR(NOT(ISNUMBER(F203)),NOT(ISNUMBER(G203))),"",F203*G203))</x:f>
      </x:c>
      <x:c r="M203" s="11"/>
      <x:c r="N203" s="14"/>
      <x:c r="O203" s="11"/>
      <x:c r="P203" s="21" t="str">
        <x:f>IF(A203="","",IF(AND(COUNTIFS($A$7:$A$206,A203,$B$7:$B$206,B203)=1,B203=Setup!$B$4,D203&lt;&gt;"",ISNUMBER(E203),E203&gt;0,ISNUMBER(F203),F203&gt;=0,F203&lt;=1,ISNUMBER(G203),G203&gt;=0,G203&lt;=1,O203&lt;&gt;""),"Valid","Review baseline / ID / weight"))</x:f>
      </x:c>
    </x:row>
    <x:row r="204" ht="60" customHeight="1">
      <x:c r="A204" s="11"/>
      <x:c r="B204" s="11"/>
      <x:c r="C204" s="11"/>
      <x:c r="D204" s="11"/>
      <x:c r="E204" s="12"/>
      <x:c r="F204" s="13"/>
      <x:c r="G204" s="13"/>
      <x:c r="H204" s="21" t="str">
        <x:f>IF(A204="","",COUNTIFS(Daily!$C$7:$C$206,A204,Daily!$B$7:$B$206,B204,Daily!$I$7:$I$206,"Accepted",Daily!$P$7:$P$206,"Recorded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4" s="22" t="str">
        <x:f>IF(A204="","",IF(H204=0,"",SUMIFS(Daily!$H$7:$H$206,Daily!$C$7:$C$206,A204,Daily!$B$7:$B$206,B204,Daily!$I$7:$I$206,"Accepted",Daily!$P$7:$P$206,"Recorded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4" s="23" t="str">
        <x:f>IF(A204="","",IF(OR(NOT(ISNUMBER(E204)),E204&lt;=0,I204=""),"",I204/E204))</x:f>
      </x:c>
      <x:c r="K204" s="23" t="str">
        <x:f>IF(A204="","",IF(OR(J204="",NOT(ISNUMBER(F204))),"",J204*F204))</x:f>
      </x:c>
      <x:c r="L204" s="23" t="str">
        <x:f>IF(A204="","",IF(OR(NOT(ISNUMBER(F204)),NOT(ISNUMBER(G204))),"",F204*G204))</x:f>
      </x:c>
      <x:c r="M204" s="11"/>
      <x:c r="N204" s="14"/>
      <x:c r="O204" s="11"/>
      <x:c r="P204" s="21" t="str">
        <x:f>IF(A204="","",IF(AND(COUNTIFS($A$7:$A$206,A204,$B$7:$B$206,B204)=1,B204=Setup!$B$4,D204&lt;&gt;"",ISNUMBER(E204),E204&gt;0,ISNUMBER(F204),F204&gt;=0,F204&lt;=1,ISNUMBER(G204),G204&gt;=0,G204&lt;=1,O204&lt;&gt;""),"Valid","Review baseline / ID / weight"))</x:f>
      </x:c>
    </x:row>
    <x:row r="205" ht="60" customHeight="1">
      <x:c r="A205" s="11"/>
      <x:c r="B205" s="11"/>
      <x:c r="C205" s="11"/>
      <x:c r="D205" s="11"/>
      <x:c r="E205" s="12"/>
      <x:c r="F205" s="13"/>
      <x:c r="G205" s="13"/>
      <x:c r="H205" s="21" t="str">
        <x:f>IF(A205="","",COUNTIFS(Daily!$C$7:$C$206,A205,Daily!$B$7:$B$206,B205,Daily!$I$7:$I$206,"Accepted",Daily!$P$7:$P$206,"Recorded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5" s="22" t="str">
        <x:f>IF(A205="","",IF(H205=0,"",SUMIFS(Daily!$H$7:$H$206,Daily!$C$7:$C$206,A205,Daily!$B$7:$B$206,B205,Daily!$I$7:$I$206,"Accepted",Daily!$P$7:$P$206,"Recorded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5" s="23" t="str">
        <x:f>IF(A205="","",IF(OR(NOT(ISNUMBER(E205)),E205&lt;=0,I205=""),"",I205/E205))</x:f>
      </x:c>
      <x:c r="K205" s="23" t="str">
        <x:f>IF(A205="","",IF(OR(J205="",NOT(ISNUMBER(F205))),"",J205*F205))</x:f>
      </x:c>
      <x:c r="L205" s="23" t="str">
        <x:f>IF(A205="","",IF(OR(NOT(ISNUMBER(F205)),NOT(ISNUMBER(G205))),"",F205*G205))</x:f>
      </x:c>
      <x:c r="M205" s="11"/>
      <x:c r="N205" s="14"/>
      <x:c r="O205" s="11"/>
      <x:c r="P205" s="21" t="str">
        <x:f>IF(A205="","",IF(AND(COUNTIFS($A$7:$A$206,A205,$B$7:$B$206,B205)=1,B205=Setup!$B$4,D205&lt;&gt;"",ISNUMBER(E205),E205&gt;0,ISNUMBER(F205),F205&gt;=0,F205&lt;=1,ISNUMBER(G205),G205&gt;=0,G205&lt;=1,O205&lt;&gt;""),"Valid","Review baseline / ID / weight"))</x:f>
      </x:c>
    </x:row>
    <x:row r="206" ht="60" customHeight="1">
      <x:c r="A206" s="11"/>
      <x:c r="B206" s="11"/>
      <x:c r="C206" s="11"/>
      <x:c r="D206" s="11"/>
      <x:c r="E206" s="12"/>
      <x:c r="F206" s="13"/>
      <x:c r="G206" s="13"/>
      <x:c r="H206" s="21" t="str">
        <x:f>IF(A206="","",COUNTIFS(Daily!$C$7:$C$206,A206,Daily!$B$7:$B$206,B206,Daily!$I$7:$I$206,"Accepted",Daily!$P$7:$P$206,"Recorded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6" s="22" t="str">
        <x:f>IF(A206="","",IF(H206=0,"",SUMIFS(Daily!$H$7:$H$206,Daily!$C$7:$C$206,A206,Daily!$B$7:$B$206,B206,Daily!$I$7:$I$206,"Accepted",Daily!$P$7:$P$206,"Recorded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6" s="23" t="str">
        <x:f>IF(A206="","",IF(OR(NOT(ISNUMBER(E206)),E206&lt;=0,I206=""),"",I206/E206))</x:f>
      </x:c>
      <x:c r="K206" s="23" t="str">
        <x:f>IF(A206="","",IF(OR(J206="",NOT(ISNUMBER(F206))),"",J206*F206))</x:f>
      </x:c>
      <x:c r="L206" s="23" t="str">
        <x:f>IF(A206="","",IF(OR(NOT(ISNUMBER(F206)),NOT(ISNUMBER(G206))),"",F206*G206))</x:f>
      </x:c>
      <x:c r="M206" s="11"/>
      <x:c r="N206" s="14"/>
      <x:c r="O206" s="11"/>
      <x:c r="P206" s="21" t="str">
        <x:f>IF(A206="","",IF(AND(COUNTIFS($A$7:$A$206,A206,$B$7:$B$206,B206)=1,B206=Setup!$B$4,D206&lt;&gt;"",ISNUMBER(E206),E206&gt;0,ISNUMBER(F206),F206&gt;=0,F206&lt;=1,ISNUMBER(G206),G206&gt;=0,G206&lt;=1,O206&lt;&gt;""),"Valid","Review baseline / ID / weight"))</x:f>
      </x:c>
    </x:row>
  </x:sheetData>
  <x:pageMargins left="0.7" right="0.7" top="0.75" bottom="0.75" header="0.3" footer="0.3"/>
  <x:tableParts count="1">
    <x:tablePart xmlns:r="http://schemas.openxmlformats.org/officeDocument/2006/relationships" r:id="Re2ff4efb60b94f5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Daily site progress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42" customHeight="1">
      <x:c r="A6" s="8" t="str">
        <x:v>Event ID</x:v>
      </x:c>
      <x:c r="B6" s="8" t="str">
        <x:v>Project ID</x:v>
      </x:c>
      <x:c r="C6" s="8" t="str">
        <x:v>WBS ID</x:v>
      </x:c>
      <x:c r="D6" s="8" t="str">
        <x:v>Event Date</x:v>
      </x:c>
      <x:c r="E6" s="8" t="str">
        <x:v>Description</x:v>
      </x:c>
      <x:c r="F6" s="8" t="str">
        <x:v>Unit</x:v>
      </x:c>
      <x:c r="G6" s="8" t="str">
        <x:v>Reported Quantity</x:v>
      </x:c>
      <x:c r="H6" s="8" t="str">
        <x:v>Accepted Quantity</x:v>
      </x:c>
      <x:c r="I6" s="8" t="str">
        <x:v>Review State</x:v>
      </x:c>
      <x:c r="J6" s="8" t="str">
        <x:v>Evidence Reference</x:v>
      </x:c>
      <x:c r="K6" s="8" t="str">
        <x:v>Prepared By</x:v>
      </x:c>
      <x:c r="L6" s="8" t="str">
        <x:v>Reviewer</x:v>
      </x:c>
      <x:c r="M6" s="8" t="str">
        <x:v>Review Date</x:v>
      </x:c>
      <x:c r="N6" s="8" t="str">
        <x:v>Revision</x:v>
      </x:c>
      <x:c r="O6" s="8" t="str">
        <x:v>Source Reference</x:v>
      </x:c>
      <x:c r="P6" s="8" t="str">
        <x:v>Evidence Check</x:v>
      </x:c>
      <x:c r="Q6" s="8" t="str">
        <x:v>Unit Check</x:v>
      </x:c>
      <x:c r="R6" s="8" t="str">
        <x:v>Quantity Check</x:v>
      </x:c>
    </x:row>
    <x:row r="7" ht="60" customHeight="1">
      <x:c r="A7" s="11"/>
      <x:c r="B7" s="11"/>
      <x:c r="C7" s="11"/>
      <x:c r="D7" s="15"/>
      <x:c r="E7" s="11"/>
      <x:c r="F7" s="11"/>
      <x:c r="G7" s="12"/>
      <x:c r="H7" s="12"/>
      <x:c r="I7" s="11"/>
      <x:c r="J7" s="11"/>
      <x:c r="K7" s="11"/>
      <x:c r="L7" s="11"/>
      <x:c r="M7" s="15"/>
      <x:c r="N7" s="14"/>
      <x:c r="O7" s="11"/>
      <x:c r="P7" s="21" t="str">
        <x:f>IF(A7="","",IF(COUNTIFS($A$7:$A$206,A7,$B$7:$B$206,B7)&lt;&gt;1,"Duplicate event ID",IF(I7&lt;&gt;"Accepted","Review pending",IF(OR(J7="",L7="",NOT(ISNUMBER(M7)),M7&lt;=0,NOT(ISNUMBER(D7)),D7&lt;=0),"Missing approval evidence","Recorded - verify authority"))))</x:f>
      </x:c>
      <x:c r="Q7" s="21" t="str">
        <x:f>IF(A7="","",IF(COUNTIFS(WBS!$A$7:$A$206,C7,WBS!$B$7:$B$206,B7,WBS!$D$7:$D$206,F7)=1,"Matched","Check WBS / unit"))</x:f>
      </x:c>
      <x:c r="R7" s="21" t="str">
        <x:f>IF(A7="","",IF(OR(NOT(ISNUMBER(G7)),G7&lt;0),"Check reported quantity",IF(I7="Accepted",IF(OR(NOT(ISNUMBER(H7)),H7&lt;0,H7&gt;G7),"Check accepted quantity","Recorded"),"Not accepted")))</x:f>
      </x:c>
    </x:row>
    <x:row r="8" ht="60" customHeight="1">
      <x:c r="A8" s="11"/>
      <x:c r="B8" s="11"/>
      <x:c r="C8" s="11"/>
      <x:c r="D8" s="15"/>
      <x:c r="E8" s="11"/>
      <x:c r="F8" s="11"/>
      <x:c r="G8" s="12"/>
      <x:c r="H8" s="12"/>
      <x:c r="I8" s="11"/>
      <x:c r="J8" s="11"/>
      <x:c r="K8" s="11"/>
      <x:c r="L8" s="11"/>
      <x:c r="M8" s="15"/>
      <x:c r="N8" s="14"/>
      <x:c r="O8" s="11"/>
      <x:c r="P8" s="21" t="str">
        <x:f>IF(A8="","",IF(COUNTIFS($A$7:$A$206,A8,$B$7:$B$206,B8)&lt;&gt;1,"Duplicate event ID",IF(I8&lt;&gt;"Accepted","Review pending",IF(OR(J8="",L8="",NOT(ISNUMBER(M8)),M8&lt;=0,NOT(ISNUMBER(D8)),D8&lt;=0),"Missing approval evidence","Recorded - verify authority"))))</x:f>
      </x:c>
      <x:c r="Q8" s="21" t="str">
        <x:f>IF(A8="","",IF(COUNTIFS(WBS!$A$7:$A$206,C8,WBS!$B$7:$B$206,B8,WBS!$D$7:$D$206,F8)=1,"Matched","Check WBS / unit"))</x:f>
      </x:c>
      <x:c r="R8" s="21" t="str">
        <x:f>IF(A8="","",IF(OR(NOT(ISNUMBER(G8)),G8&lt;0),"Check reported quantity",IF(I8="Accepted",IF(OR(NOT(ISNUMBER(H8)),H8&lt;0,H8&gt;G8),"Check accepted quantity","Recorded"),"Not accepted")))</x:f>
      </x:c>
    </x:row>
    <x:row r="9" ht="60" customHeight="1">
      <x:c r="A9" s="11"/>
      <x:c r="B9" s="11"/>
      <x:c r="C9" s="11"/>
      <x:c r="D9" s="15"/>
      <x:c r="E9" s="11"/>
      <x:c r="F9" s="11"/>
      <x:c r="G9" s="12"/>
      <x:c r="H9" s="12"/>
      <x:c r="I9" s="11"/>
      <x:c r="J9" s="11"/>
      <x:c r="K9" s="11"/>
      <x:c r="L9" s="11"/>
      <x:c r="M9" s="15"/>
      <x:c r="N9" s="14"/>
      <x:c r="O9" s="11"/>
      <x:c r="P9" s="21" t="str">
        <x:f>IF(A9="","",IF(COUNTIFS($A$7:$A$206,A9,$B$7:$B$206,B9)&lt;&gt;1,"Duplicate event ID",IF(I9&lt;&gt;"Accepted","Review pending",IF(OR(J9="",L9="",NOT(ISNUMBER(M9)),M9&lt;=0,NOT(ISNUMBER(D9)),D9&lt;=0),"Missing approval evidence","Recorded - verify authority"))))</x:f>
      </x:c>
      <x:c r="Q9" s="21" t="str">
        <x:f>IF(A9="","",IF(COUNTIFS(WBS!$A$7:$A$206,C9,WBS!$B$7:$B$206,B9,WBS!$D$7:$D$206,F9)=1,"Matched","Check WBS / unit"))</x:f>
      </x:c>
      <x:c r="R9" s="21" t="str">
        <x:f>IF(A9="","",IF(OR(NOT(ISNUMBER(G9)),G9&lt;0),"Check reported quantity",IF(I9="Accepted",IF(OR(NOT(ISNUMBER(H9)),H9&lt;0,H9&gt;G9),"Check accepted quantity","Recorded"),"Not accepted")))</x:f>
      </x:c>
    </x:row>
    <x:row r="10" ht="60" customHeight="1">
      <x:c r="A10" s="11"/>
      <x:c r="B10" s="11"/>
      <x:c r="C10" s="11"/>
      <x:c r="D10" s="15"/>
      <x:c r="E10" s="11"/>
      <x:c r="F10" s="11"/>
      <x:c r="G10" s="12"/>
      <x:c r="H10" s="12"/>
      <x:c r="I10" s="11"/>
      <x:c r="J10" s="11"/>
      <x:c r="K10" s="11"/>
      <x:c r="L10" s="11"/>
      <x:c r="M10" s="15"/>
      <x:c r="N10" s="14"/>
      <x:c r="O10" s="11"/>
      <x:c r="P10" s="21" t="str">
        <x:f>IF(A10="","",IF(COUNTIFS($A$7:$A$206,A10,$B$7:$B$206,B10)&lt;&gt;1,"Duplicate event ID",IF(I10&lt;&gt;"Accepted","Review pending",IF(OR(J10="",L10="",NOT(ISNUMBER(M10)),M10&lt;=0,NOT(ISNUMBER(D10)),D10&lt;=0),"Missing approval evidence","Recorded - verify authority"))))</x:f>
      </x:c>
      <x:c r="Q10" s="21" t="str">
        <x:f>IF(A10="","",IF(COUNTIFS(WBS!$A$7:$A$206,C10,WBS!$B$7:$B$206,B10,WBS!$D$7:$D$206,F10)=1,"Matched","Check WBS / unit"))</x:f>
      </x:c>
      <x:c r="R10" s="21" t="str">
        <x:f>IF(A10="","",IF(OR(NOT(ISNUMBER(G10)),G10&lt;0),"Check reported quantity",IF(I10="Accepted",IF(OR(NOT(ISNUMBER(H10)),H10&lt;0,H10&gt;G10),"Check accepted quantity","Recorded"),"Not accepted")))</x:f>
      </x:c>
    </x:row>
    <x:row r="11" ht="60" customHeight="1">
      <x:c r="A11" s="11"/>
      <x:c r="B11" s="11"/>
      <x:c r="C11" s="11"/>
      <x:c r="D11" s="15"/>
      <x:c r="E11" s="11"/>
      <x:c r="F11" s="11"/>
      <x:c r="G11" s="12"/>
      <x:c r="H11" s="12"/>
      <x:c r="I11" s="11"/>
      <x:c r="J11" s="11"/>
      <x:c r="K11" s="11"/>
      <x:c r="L11" s="11"/>
      <x:c r="M11" s="15"/>
      <x:c r="N11" s="14"/>
      <x:c r="O11" s="11"/>
      <x:c r="P11" s="21" t="str">
        <x:f>IF(A11="","",IF(COUNTIFS($A$7:$A$206,A11,$B$7:$B$206,B11)&lt;&gt;1,"Duplicate event ID",IF(I11&lt;&gt;"Accepted","Review pending",IF(OR(J11="",L11="",NOT(ISNUMBER(M11)),M11&lt;=0,NOT(ISNUMBER(D11)),D11&lt;=0),"Missing approval evidence","Recorded - verify authority"))))</x:f>
      </x:c>
      <x:c r="Q11" s="21" t="str">
        <x:f>IF(A11="","",IF(COUNTIFS(WBS!$A$7:$A$206,C11,WBS!$B$7:$B$206,B11,WBS!$D$7:$D$206,F11)=1,"Matched","Check WBS / unit"))</x:f>
      </x:c>
      <x:c r="R11" s="21" t="str">
        <x:f>IF(A11="","",IF(OR(NOT(ISNUMBER(G11)),G11&lt;0),"Check reported quantity",IF(I11="Accepted",IF(OR(NOT(ISNUMBER(H11)),H11&lt;0,H11&gt;G11),"Check accepted quantity","Recorded"),"Not accepted")))</x:f>
      </x:c>
    </x:row>
    <x:row r="12" ht="60" customHeight="1">
      <x:c r="A12" s="11"/>
      <x:c r="B12" s="11"/>
      <x:c r="C12" s="11"/>
      <x:c r="D12" s="15"/>
      <x:c r="E12" s="11"/>
      <x:c r="F12" s="11"/>
      <x:c r="G12" s="12"/>
      <x:c r="H12" s="12"/>
      <x:c r="I12" s="11"/>
      <x:c r="J12" s="11"/>
      <x:c r="K12" s="11"/>
      <x:c r="L12" s="11"/>
      <x:c r="M12" s="15"/>
      <x:c r="N12" s="14"/>
      <x:c r="O12" s="11"/>
      <x:c r="P12" s="21" t="str">
        <x:f>IF(A12="","",IF(COUNTIFS($A$7:$A$206,A12,$B$7:$B$206,B12)&lt;&gt;1,"Duplicate event ID",IF(I12&lt;&gt;"Accepted","Review pending",IF(OR(J12="",L12="",NOT(ISNUMBER(M12)),M12&lt;=0,NOT(ISNUMBER(D12)),D12&lt;=0),"Missing approval evidence","Recorded - verify authority"))))</x:f>
      </x:c>
      <x:c r="Q12" s="21" t="str">
        <x:f>IF(A12="","",IF(COUNTIFS(WBS!$A$7:$A$206,C12,WBS!$B$7:$B$206,B12,WBS!$D$7:$D$206,F12)=1,"Matched","Check WBS / unit"))</x:f>
      </x:c>
      <x:c r="R12" s="21" t="str">
        <x:f>IF(A12="","",IF(OR(NOT(ISNUMBER(G12)),G12&lt;0),"Check reported quantity",IF(I12="Accepted",IF(OR(NOT(ISNUMBER(H12)),H12&lt;0,H12&gt;G12),"Check accepted quantity","Recorded"),"Not accepted")))</x:f>
      </x:c>
    </x:row>
    <x:row r="13" ht="60" customHeight="1">
      <x:c r="A13" s="11"/>
      <x:c r="B13" s="11"/>
      <x:c r="C13" s="11"/>
      <x:c r="D13" s="15"/>
      <x:c r="E13" s="11"/>
      <x:c r="F13" s="11"/>
      <x:c r="G13" s="12"/>
      <x:c r="H13" s="12"/>
      <x:c r="I13" s="11"/>
      <x:c r="J13" s="11"/>
      <x:c r="K13" s="11"/>
      <x:c r="L13" s="11"/>
      <x:c r="M13" s="15"/>
      <x:c r="N13" s="14"/>
      <x:c r="O13" s="11"/>
      <x:c r="P13" s="21" t="str">
        <x:f>IF(A13="","",IF(COUNTIFS($A$7:$A$206,A13,$B$7:$B$206,B13)&lt;&gt;1,"Duplicate event ID",IF(I13&lt;&gt;"Accepted","Review pending",IF(OR(J13="",L13="",NOT(ISNUMBER(M13)),M13&lt;=0,NOT(ISNUMBER(D13)),D13&lt;=0),"Missing approval evidence","Recorded - verify authority"))))</x:f>
      </x:c>
      <x:c r="Q13" s="21" t="str">
        <x:f>IF(A13="","",IF(COUNTIFS(WBS!$A$7:$A$206,C13,WBS!$B$7:$B$206,B13,WBS!$D$7:$D$206,F13)=1,"Matched","Check WBS / unit"))</x:f>
      </x:c>
      <x:c r="R13" s="21" t="str">
        <x:f>IF(A13="","",IF(OR(NOT(ISNUMBER(G13)),G13&lt;0),"Check reported quantity",IF(I13="Accepted",IF(OR(NOT(ISNUMBER(H13)),H13&lt;0,H13&gt;G13),"Check accepted quantity","Recorded"),"Not accepted")))</x:f>
      </x:c>
    </x:row>
    <x:row r="14" ht="60" customHeight="1">
      <x:c r="A14" s="11"/>
      <x:c r="B14" s="11"/>
      <x:c r="C14" s="11"/>
      <x:c r="D14" s="15"/>
      <x:c r="E14" s="11"/>
      <x:c r="F14" s="11"/>
      <x:c r="G14" s="12"/>
      <x:c r="H14" s="12"/>
      <x:c r="I14" s="11"/>
      <x:c r="J14" s="11"/>
      <x:c r="K14" s="11"/>
      <x:c r="L14" s="11"/>
      <x:c r="M14" s="15"/>
      <x:c r="N14" s="14"/>
      <x:c r="O14" s="11"/>
      <x:c r="P14" s="21" t="str">
        <x:f>IF(A14="","",IF(COUNTIFS($A$7:$A$206,A14,$B$7:$B$206,B14)&lt;&gt;1,"Duplicate event ID",IF(I14&lt;&gt;"Accepted","Review pending",IF(OR(J14="",L14="",NOT(ISNUMBER(M14)),M14&lt;=0,NOT(ISNUMBER(D14)),D14&lt;=0),"Missing approval evidence","Recorded - verify authority"))))</x:f>
      </x:c>
      <x:c r="Q14" s="21" t="str">
        <x:f>IF(A14="","",IF(COUNTIFS(WBS!$A$7:$A$206,C14,WBS!$B$7:$B$206,B14,WBS!$D$7:$D$206,F14)=1,"Matched","Check WBS / unit"))</x:f>
      </x:c>
      <x:c r="R14" s="21" t="str">
        <x:f>IF(A14="","",IF(OR(NOT(ISNUMBER(G14)),G14&lt;0),"Check reported quantity",IF(I14="Accepted",IF(OR(NOT(ISNUMBER(H14)),H14&lt;0,H14&gt;G14),"Check accepted quantity","Recorded"),"Not accepted")))</x:f>
      </x:c>
    </x:row>
    <x:row r="15" ht="60" customHeight="1">
      <x:c r="A15" s="11"/>
      <x:c r="B15" s="11"/>
      <x:c r="C15" s="11"/>
      <x:c r="D15" s="15"/>
      <x:c r="E15" s="11"/>
      <x:c r="F15" s="11"/>
      <x:c r="G15" s="12"/>
      <x:c r="H15" s="12"/>
      <x:c r="I15" s="11"/>
      <x:c r="J15" s="11"/>
      <x:c r="K15" s="11"/>
      <x:c r="L15" s="11"/>
      <x:c r="M15" s="15"/>
      <x:c r="N15" s="14"/>
      <x:c r="O15" s="11"/>
      <x:c r="P15" s="21" t="str">
        <x:f>IF(A15="","",IF(COUNTIFS($A$7:$A$206,A15,$B$7:$B$206,B15)&lt;&gt;1,"Duplicate event ID",IF(I15&lt;&gt;"Accepted","Review pending",IF(OR(J15="",L15="",NOT(ISNUMBER(M15)),M15&lt;=0,NOT(ISNUMBER(D15)),D15&lt;=0),"Missing approval evidence","Recorded - verify authority"))))</x:f>
      </x:c>
      <x:c r="Q15" s="21" t="str">
        <x:f>IF(A15="","",IF(COUNTIFS(WBS!$A$7:$A$206,C15,WBS!$B$7:$B$206,B15,WBS!$D$7:$D$206,F15)=1,"Matched","Check WBS / unit"))</x:f>
      </x:c>
      <x:c r="R15" s="21" t="str">
        <x:f>IF(A15="","",IF(OR(NOT(ISNUMBER(G15)),G15&lt;0),"Check reported quantity",IF(I15="Accepted",IF(OR(NOT(ISNUMBER(H15)),H15&lt;0,H15&gt;G15),"Check accepted quantity","Recorded"),"Not accepted")))</x:f>
      </x:c>
    </x:row>
    <x:row r="16" ht="60" customHeight="1">
      <x:c r="A16" s="11"/>
      <x:c r="B16" s="11"/>
      <x:c r="C16" s="11"/>
      <x:c r="D16" s="15"/>
      <x:c r="E16" s="11"/>
      <x:c r="F16" s="11"/>
      <x:c r="G16" s="12"/>
      <x:c r="H16" s="12"/>
      <x:c r="I16" s="11"/>
      <x:c r="J16" s="11"/>
      <x:c r="K16" s="11"/>
      <x:c r="L16" s="11"/>
      <x:c r="M16" s="15"/>
      <x:c r="N16" s="14"/>
      <x:c r="O16" s="11"/>
      <x:c r="P16" s="21" t="str">
        <x:f>IF(A16="","",IF(COUNTIFS($A$7:$A$206,A16,$B$7:$B$206,B16)&lt;&gt;1,"Duplicate event ID",IF(I16&lt;&gt;"Accepted","Review pending",IF(OR(J16="",L16="",NOT(ISNUMBER(M16)),M16&lt;=0,NOT(ISNUMBER(D16)),D16&lt;=0),"Missing approval evidence","Recorded - verify authority"))))</x:f>
      </x:c>
      <x:c r="Q16" s="21" t="str">
        <x:f>IF(A16="","",IF(COUNTIFS(WBS!$A$7:$A$206,C16,WBS!$B$7:$B$206,B16,WBS!$D$7:$D$206,F16)=1,"Matched","Check WBS / unit"))</x:f>
      </x:c>
      <x:c r="R16" s="21" t="str">
        <x:f>IF(A16="","",IF(OR(NOT(ISNUMBER(G16)),G16&lt;0),"Check reported quantity",IF(I16="Accepted",IF(OR(NOT(ISNUMBER(H16)),H16&lt;0,H16&gt;G16),"Check accepted quantity","Recorded"),"Not accepted")))</x:f>
      </x:c>
    </x:row>
    <x:row r="17" ht="60" customHeight="1">
      <x:c r="A17" s="11"/>
      <x:c r="B17" s="11"/>
      <x:c r="C17" s="11"/>
      <x:c r="D17" s="15"/>
      <x:c r="E17" s="11"/>
      <x:c r="F17" s="11"/>
      <x:c r="G17" s="12"/>
      <x:c r="H17" s="12"/>
      <x:c r="I17" s="11"/>
      <x:c r="J17" s="11"/>
      <x:c r="K17" s="11"/>
      <x:c r="L17" s="11"/>
      <x:c r="M17" s="15"/>
      <x:c r="N17" s="14"/>
      <x:c r="O17" s="11"/>
      <x:c r="P17" s="21" t="str">
        <x:f>IF(A17="","",IF(COUNTIFS($A$7:$A$206,A17,$B$7:$B$206,B17)&lt;&gt;1,"Duplicate event ID",IF(I17&lt;&gt;"Accepted","Review pending",IF(OR(J17="",L17="",NOT(ISNUMBER(M17)),M17&lt;=0,NOT(ISNUMBER(D17)),D17&lt;=0),"Missing approval evidence","Recorded - verify authority"))))</x:f>
      </x:c>
      <x:c r="Q17" s="21" t="str">
        <x:f>IF(A17="","",IF(COUNTIFS(WBS!$A$7:$A$206,C17,WBS!$B$7:$B$206,B17,WBS!$D$7:$D$206,F17)=1,"Matched","Check WBS / unit"))</x:f>
      </x:c>
      <x:c r="R17" s="21" t="str">
        <x:f>IF(A17="","",IF(OR(NOT(ISNUMBER(G17)),G17&lt;0),"Check reported quantity",IF(I17="Accepted",IF(OR(NOT(ISNUMBER(H17)),H17&lt;0,H17&gt;G17),"Check accepted quantity","Recorded"),"Not accepted")))</x:f>
      </x:c>
    </x:row>
    <x:row r="18" ht="60" customHeight="1">
      <x:c r="A18" s="11"/>
      <x:c r="B18" s="11"/>
      <x:c r="C18" s="11"/>
      <x:c r="D18" s="15"/>
      <x:c r="E18" s="11"/>
      <x:c r="F18" s="11"/>
      <x:c r="G18" s="12"/>
      <x:c r="H18" s="12"/>
      <x:c r="I18" s="11"/>
      <x:c r="J18" s="11"/>
      <x:c r="K18" s="11"/>
      <x:c r="L18" s="11"/>
      <x:c r="M18" s="15"/>
      <x:c r="N18" s="14"/>
      <x:c r="O18" s="11"/>
      <x:c r="P18" s="21" t="str">
        <x:f>IF(A18="","",IF(COUNTIFS($A$7:$A$206,A18,$B$7:$B$206,B18)&lt;&gt;1,"Duplicate event ID",IF(I18&lt;&gt;"Accepted","Review pending",IF(OR(J18="",L18="",NOT(ISNUMBER(M18)),M18&lt;=0,NOT(ISNUMBER(D18)),D18&lt;=0),"Missing approval evidence","Recorded - verify authority"))))</x:f>
      </x:c>
      <x:c r="Q18" s="21" t="str">
        <x:f>IF(A18="","",IF(COUNTIFS(WBS!$A$7:$A$206,C18,WBS!$B$7:$B$206,B18,WBS!$D$7:$D$206,F18)=1,"Matched","Check WBS / unit"))</x:f>
      </x:c>
      <x:c r="R18" s="21" t="str">
        <x:f>IF(A18="","",IF(OR(NOT(ISNUMBER(G18)),G18&lt;0),"Check reported quantity",IF(I18="Accepted",IF(OR(NOT(ISNUMBER(H18)),H18&lt;0,H18&gt;G18),"Check accepted quantity","Recorded"),"Not accepted")))</x:f>
      </x:c>
    </x:row>
    <x:row r="19" ht="60" customHeight="1">
      <x:c r="A19" s="11"/>
      <x:c r="B19" s="11"/>
      <x:c r="C19" s="11"/>
      <x:c r="D19" s="15"/>
      <x:c r="E19" s="11"/>
      <x:c r="F19" s="11"/>
      <x:c r="G19" s="12"/>
      <x:c r="H19" s="12"/>
      <x:c r="I19" s="11"/>
      <x:c r="J19" s="11"/>
      <x:c r="K19" s="11"/>
      <x:c r="L19" s="11"/>
      <x:c r="M19" s="15"/>
      <x:c r="N19" s="14"/>
      <x:c r="O19" s="11"/>
      <x:c r="P19" s="21" t="str">
        <x:f>IF(A19="","",IF(COUNTIFS($A$7:$A$206,A19,$B$7:$B$206,B19)&lt;&gt;1,"Duplicate event ID",IF(I19&lt;&gt;"Accepted","Review pending",IF(OR(J19="",L19="",NOT(ISNUMBER(M19)),M19&lt;=0,NOT(ISNUMBER(D19)),D19&lt;=0),"Missing approval evidence","Recorded - verify authority"))))</x:f>
      </x:c>
      <x:c r="Q19" s="21" t="str">
        <x:f>IF(A19="","",IF(COUNTIFS(WBS!$A$7:$A$206,C19,WBS!$B$7:$B$206,B19,WBS!$D$7:$D$206,F19)=1,"Matched","Check WBS / unit"))</x:f>
      </x:c>
      <x:c r="R19" s="21" t="str">
        <x:f>IF(A19="","",IF(OR(NOT(ISNUMBER(G19)),G19&lt;0),"Check reported quantity",IF(I19="Accepted",IF(OR(NOT(ISNUMBER(H19)),H19&lt;0,H19&gt;G19),"Check accepted quantity","Recorded"),"Not accepted")))</x:f>
      </x:c>
    </x:row>
    <x:row r="20" ht="60" customHeight="1">
      <x:c r="A20" s="11"/>
      <x:c r="B20" s="11"/>
      <x:c r="C20" s="11"/>
      <x:c r="D20" s="15"/>
      <x:c r="E20" s="11"/>
      <x:c r="F20" s="11"/>
      <x:c r="G20" s="12"/>
      <x:c r="H20" s="12"/>
      <x:c r="I20" s="11"/>
      <x:c r="J20" s="11"/>
      <x:c r="K20" s="11"/>
      <x:c r="L20" s="11"/>
      <x:c r="M20" s="15"/>
      <x:c r="N20" s="14"/>
      <x:c r="O20" s="11"/>
      <x:c r="P20" s="21" t="str">
        <x:f>IF(A20="","",IF(COUNTIFS($A$7:$A$206,A20,$B$7:$B$206,B20)&lt;&gt;1,"Duplicate event ID",IF(I20&lt;&gt;"Accepted","Review pending",IF(OR(J20="",L20="",NOT(ISNUMBER(M20)),M20&lt;=0,NOT(ISNUMBER(D20)),D20&lt;=0),"Missing approval evidence","Recorded - verify authority"))))</x:f>
      </x:c>
      <x:c r="Q20" s="21" t="str">
        <x:f>IF(A20="","",IF(COUNTIFS(WBS!$A$7:$A$206,C20,WBS!$B$7:$B$206,B20,WBS!$D$7:$D$206,F20)=1,"Matched","Check WBS / unit"))</x:f>
      </x:c>
      <x:c r="R20" s="21" t="str">
        <x:f>IF(A20="","",IF(OR(NOT(ISNUMBER(G20)),G20&lt;0),"Check reported quantity",IF(I20="Accepted",IF(OR(NOT(ISNUMBER(H20)),H20&lt;0,H20&gt;G20),"Check accepted quantity","Recorded"),"Not accepted")))</x:f>
      </x:c>
    </x:row>
    <x:row r="21" ht="60" customHeight="1">
      <x:c r="A21" s="11"/>
      <x:c r="B21" s="11"/>
      <x:c r="C21" s="11"/>
      <x:c r="D21" s="15"/>
      <x:c r="E21" s="11"/>
      <x:c r="F21" s="11"/>
      <x:c r="G21" s="12"/>
      <x:c r="H21" s="12"/>
      <x:c r="I21" s="11"/>
      <x:c r="J21" s="11"/>
      <x:c r="K21" s="11"/>
      <x:c r="L21" s="11"/>
      <x:c r="M21" s="15"/>
      <x:c r="N21" s="14"/>
      <x:c r="O21" s="11"/>
      <x:c r="P21" s="21" t="str">
        <x:f>IF(A21="","",IF(COUNTIFS($A$7:$A$206,A21,$B$7:$B$206,B21)&lt;&gt;1,"Duplicate event ID",IF(I21&lt;&gt;"Accepted","Review pending",IF(OR(J21="",L21="",NOT(ISNUMBER(M21)),M21&lt;=0,NOT(ISNUMBER(D21)),D21&lt;=0),"Missing approval evidence","Recorded - verify authority"))))</x:f>
      </x:c>
      <x:c r="Q21" s="21" t="str">
        <x:f>IF(A21="","",IF(COUNTIFS(WBS!$A$7:$A$206,C21,WBS!$B$7:$B$206,B21,WBS!$D$7:$D$206,F21)=1,"Matched","Check WBS / unit"))</x:f>
      </x:c>
      <x:c r="R21" s="21" t="str">
        <x:f>IF(A21="","",IF(OR(NOT(ISNUMBER(G21)),G21&lt;0),"Check reported quantity",IF(I21="Accepted",IF(OR(NOT(ISNUMBER(H21)),H21&lt;0,H21&gt;G21),"Check accepted quantity","Recorded"),"Not accepted")))</x:f>
      </x:c>
    </x:row>
    <x:row r="22" ht="60" customHeight="1">
      <x:c r="A22" s="11"/>
      <x:c r="B22" s="11"/>
      <x:c r="C22" s="11"/>
      <x:c r="D22" s="15"/>
      <x:c r="E22" s="11"/>
      <x:c r="F22" s="11"/>
      <x:c r="G22" s="12"/>
      <x:c r="H22" s="12"/>
      <x:c r="I22" s="11"/>
      <x:c r="J22" s="11"/>
      <x:c r="K22" s="11"/>
      <x:c r="L22" s="11"/>
      <x:c r="M22" s="15"/>
      <x:c r="N22" s="14"/>
      <x:c r="O22" s="11"/>
      <x:c r="P22" s="21" t="str">
        <x:f>IF(A22="","",IF(COUNTIFS($A$7:$A$206,A22,$B$7:$B$206,B22)&lt;&gt;1,"Duplicate event ID",IF(I22&lt;&gt;"Accepted","Review pending",IF(OR(J22="",L22="",NOT(ISNUMBER(M22)),M22&lt;=0,NOT(ISNUMBER(D22)),D22&lt;=0),"Missing approval evidence","Recorded - verify authority"))))</x:f>
      </x:c>
      <x:c r="Q22" s="21" t="str">
        <x:f>IF(A22="","",IF(COUNTIFS(WBS!$A$7:$A$206,C22,WBS!$B$7:$B$206,B22,WBS!$D$7:$D$206,F22)=1,"Matched","Check WBS / unit"))</x:f>
      </x:c>
      <x:c r="R22" s="21" t="str">
        <x:f>IF(A22="","",IF(OR(NOT(ISNUMBER(G22)),G22&lt;0),"Check reported quantity",IF(I22="Accepted",IF(OR(NOT(ISNUMBER(H22)),H22&lt;0,H22&gt;G22),"Check accepted quantity","Recorded"),"Not accepted")))</x:f>
      </x:c>
    </x:row>
    <x:row r="23" ht="60" customHeight="1">
      <x:c r="A23" s="11"/>
      <x:c r="B23" s="11"/>
      <x:c r="C23" s="11"/>
      <x:c r="D23" s="15"/>
      <x:c r="E23" s="11"/>
      <x:c r="F23" s="11"/>
      <x:c r="G23" s="12"/>
      <x:c r="H23" s="12"/>
      <x:c r="I23" s="11"/>
      <x:c r="J23" s="11"/>
      <x:c r="K23" s="11"/>
      <x:c r="L23" s="11"/>
      <x:c r="M23" s="15"/>
      <x:c r="N23" s="14"/>
      <x:c r="O23" s="11"/>
      <x:c r="P23" s="21" t="str">
        <x:f>IF(A23="","",IF(COUNTIFS($A$7:$A$206,A23,$B$7:$B$206,B23)&lt;&gt;1,"Duplicate event ID",IF(I23&lt;&gt;"Accepted","Review pending",IF(OR(J23="",L23="",NOT(ISNUMBER(M23)),M23&lt;=0,NOT(ISNUMBER(D23)),D23&lt;=0),"Missing approval evidence","Recorded - verify authority"))))</x:f>
      </x:c>
      <x:c r="Q23" s="21" t="str">
        <x:f>IF(A23="","",IF(COUNTIFS(WBS!$A$7:$A$206,C23,WBS!$B$7:$B$206,B23,WBS!$D$7:$D$206,F23)=1,"Matched","Check WBS / unit"))</x:f>
      </x:c>
      <x:c r="R23" s="21" t="str">
        <x:f>IF(A23="","",IF(OR(NOT(ISNUMBER(G23)),G23&lt;0),"Check reported quantity",IF(I23="Accepted",IF(OR(NOT(ISNUMBER(H23)),H23&lt;0,H23&gt;G23),"Check accepted quantity","Recorded"),"Not accepted")))</x:f>
      </x:c>
    </x:row>
    <x:row r="24" ht="60" customHeight="1">
      <x:c r="A24" s="11"/>
      <x:c r="B24" s="11"/>
      <x:c r="C24" s="11"/>
      <x:c r="D24" s="15"/>
      <x:c r="E24" s="11"/>
      <x:c r="F24" s="11"/>
      <x:c r="G24" s="12"/>
      <x:c r="H24" s="12"/>
      <x:c r="I24" s="11"/>
      <x:c r="J24" s="11"/>
      <x:c r="K24" s="11"/>
      <x:c r="L24" s="11"/>
      <x:c r="M24" s="15"/>
      <x:c r="N24" s="14"/>
      <x:c r="O24" s="11"/>
      <x:c r="P24" s="21" t="str">
        <x:f>IF(A24="","",IF(COUNTIFS($A$7:$A$206,A24,$B$7:$B$206,B24)&lt;&gt;1,"Duplicate event ID",IF(I24&lt;&gt;"Accepted","Review pending",IF(OR(J24="",L24="",NOT(ISNUMBER(M24)),M24&lt;=0,NOT(ISNUMBER(D24)),D24&lt;=0),"Missing approval evidence","Recorded - verify authority"))))</x:f>
      </x:c>
      <x:c r="Q24" s="21" t="str">
        <x:f>IF(A24="","",IF(COUNTIFS(WBS!$A$7:$A$206,C24,WBS!$B$7:$B$206,B24,WBS!$D$7:$D$206,F24)=1,"Matched","Check WBS / unit"))</x:f>
      </x:c>
      <x:c r="R24" s="21" t="str">
        <x:f>IF(A24="","",IF(OR(NOT(ISNUMBER(G24)),G24&lt;0),"Check reported quantity",IF(I24="Accepted",IF(OR(NOT(ISNUMBER(H24)),H24&lt;0,H24&gt;G24),"Check accepted quantity","Recorded"),"Not accepted")))</x:f>
      </x:c>
    </x:row>
    <x:row r="25" ht="60" customHeight="1">
      <x:c r="A25" s="11"/>
      <x:c r="B25" s="11"/>
      <x:c r="C25" s="11"/>
      <x:c r="D25" s="15"/>
      <x:c r="E25" s="11"/>
      <x:c r="F25" s="11"/>
      <x:c r="G25" s="12"/>
      <x:c r="H25" s="12"/>
      <x:c r="I25" s="11"/>
      <x:c r="J25" s="11"/>
      <x:c r="K25" s="11"/>
      <x:c r="L25" s="11"/>
      <x:c r="M25" s="15"/>
      <x:c r="N25" s="14"/>
      <x:c r="O25" s="11"/>
      <x:c r="P25" s="21" t="str">
        <x:f>IF(A25="","",IF(COUNTIFS($A$7:$A$206,A25,$B$7:$B$206,B25)&lt;&gt;1,"Duplicate event ID",IF(I25&lt;&gt;"Accepted","Review pending",IF(OR(J25="",L25="",NOT(ISNUMBER(M25)),M25&lt;=0,NOT(ISNUMBER(D25)),D25&lt;=0),"Missing approval evidence","Recorded - verify authority"))))</x:f>
      </x:c>
      <x:c r="Q25" s="21" t="str">
        <x:f>IF(A25="","",IF(COUNTIFS(WBS!$A$7:$A$206,C25,WBS!$B$7:$B$206,B25,WBS!$D$7:$D$206,F25)=1,"Matched","Check WBS / unit"))</x:f>
      </x:c>
      <x:c r="R25" s="21" t="str">
        <x:f>IF(A25="","",IF(OR(NOT(ISNUMBER(G25)),G25&lt;0),"Check reported quantity",IF(I25="Accepted",IF(OR(NOT(ISNUMBER(H25)),H25&lt;0,H25&gt;G25),"Check accepted quantity","Recorded"),"Not accepted")))</x:f>
      </x:c>
    </x:row>
    <x:row r="26" ht="60" customHeight="1">
      <x:c r="A26" s="11"/>
      <x:c r="B26" s="11"/>
      <x:c r="C26" s="11"/>
      <x:c r="D26" s="15"/>
      <x:c r="E26" s="11"/>
      <x:c r="F26" s="11"/>
      <x:c r="G26" s="12"/>
      <x:c r="H26" s="12"/>
      <x:c r="I26" s="11"/>
      <x:c r="J26" s="11"/>
      <x:c r="K26" s="11"/>
      <x:c r="L26" s="11"/>
      <x:c r="M26" s="15"/>
      <x:c r="N26" s="14"/>
      <x:c r="O26" s="11"/>
      <x:c r="P26" s="21" t="str">
        <x:f>IF(A26="","",IF(COUNTIFS($A$7:$A$206,A26,$B$7:$B$206,B26)&lt;&gt;1,"Duplicate event ID",IF(I26&lt;&gt;"Accepted","Review pending",IF(OR(J26="",L26="",NOT(ISNUMBER(M26)),M26&lt;=0,NOT(ISNUMBER(D26)),D26&lt;=0),"Missing approval evidence","Recorded - verify authority"))))</x:f>
      </x:c>
      <x:c r="Q26" s="21" t="str">
        <x:f>IF(A26="","",IF(COUNTIFS(WBS!$A$7:$A$206,C26,WBS!$B$7:$B$206,B26,WBS!$D$7:$D$206,F26)=1,"Matched","Check WBS / unit"))</x:f>
      </x:c>
      <x:c r="R26" s="21" t="str">
        <x:f>IF(A26="","",IF(OR(NOT(ISNUMBER(G26)),G26&lt;0),"Check reported quantity",IF(I26="Accepted",IF(OR(NOT(ISNUMBER(H26)),H26&lt;0,H26&gt;G26),"Check accepted quantity","Recorded"),"Not accepted")))</x:f>
      </x:c>
    </x:row>
    <x:row r="27" ht="60" customHeight="1">
      <x:c r="A27" s="11"/>
      <x:c r="B27" s="11"/>
      <x:c r="C27" s="11"/>
      <x:c r="D27" s="15"/>
      <x:c r="E27" s="11"/>
      <x:c r="F27" s="11"/>
      <x:c r="G27" s="12"/>
      <x:c r="H27" s="12"/>
      <x:c r="I27" s="11"/>
      <x:c r="J27" s="11"/>
      <x:c r="K27" s="11"/>
      <x:c r="L27" s="11"/>
      <x:c r="M27" s="15"/>
      <x:c r="N27" s="14"/>
      <x:c r="O27" s="11"/>
      <x:c r="P27" s="21" t="str">
        <x:f>IF(A27="","",IF(COUNTIFS($A$7:$A$206,A27,$B$7:$B$206,B27)&lt;&gt;1,"Duplicate event ID",IF(I27&lt;&gt;"Accepted","Review pending",IF(OR(J27="",L27="",NOT(ISNUMBER(M27)),M27&lt;=0,NOT(ISNUMBER(D27)),D27&lt;=0),"Missing approval evidence","Recorded - verify authority"))))</x:f>
      </x:c>
      <x:c r="Q27" s="21" t="str">
        <x:f>IF(A27="","",IF(COUNTIFS(WBS!$A$7:$A$206,C27,WBS!$B$7:$B$206,B27,WBS!$D$7:$D$206,F27)=1,"Matched","Check WBS / unit"))</x:f>
      </x:c>
      <x:c r="R27" s="21" t="str">
        <x:f>IF(A27="","",IF(OR(NOT(ISNUMBER(G27)),G27&lt;0),"Check reported quantity",IF(I27="Accepted",IF(OR(NOT(ISNUMBER(H27)),H27&lt;0,H27&gt;G27),"Check accepted quantity","Recorded"),"Not accepted")))</x:f>
      </x:c>
    </x:row>
    <x:row r="28" ht="60" customHeight="1">
      <x:c r="A28" s="11"/>
      <x:c r="B28" s="11"/>
      <x:c r="C28" s="11"/>
      <x:c r="D28" s="15"/>
      <x:c r="E28" s="11"/>
      <x:c r="F28" s="11"/>
      <x:c r="G28" s="12"/>
      <x:c r="H28" s="12"/>
      <x:c r="I28" s="11"/>
      <x:c r="J28" s="11"/>
      <x:c r="K28" s="11"/>
      <x:c r="L28" s="11"/>
      <x:c r="M28" s="15"/>
      <x:c r="N28" s="14"/>
      <x:c r="O28" s="11"/>
      <x:c r="P28" s="21" t="str">
        <x:f>IF(A28="","",IF(COUNTIFS($A$7:$A$206,A28,$B$7:$B$206,B28)&lt;&gt;1,"Duplicate event ID",IF(I28&lt;&gt;"Accepted","Review pending",IF(OR(J28="",L28="",NOT(ISNUMBER(M28)),M28&lt;=0,NOT(ISNUMBER(D28)),D28&lt;=0),"Missing approval evidence","Recorded - verify authority"))))</x:f>
      </x:c>
      <x:c r="Q28" s="21" t="str">
        <x:f>IF(A28="","",IF(COUNTIFS(WBS!$A$7:$A$206,C28,WBS!$B$7:$B$206,B28,WBS!$D$7:$D$206,F28)=1,"Matched","Check WBS / unit"))</x:f>
      </x:c>
      <x:c r="R28" s="21" t="str">
        <x:f>IF(A28="","",IF(OR(NOT(ISNUMBER(G28)),G28&lt;0),"Check reported quantity",IF(I28="Accepted",IF(OR(NOT(ISNUMBER(H28)),H28&lt;0,H28&gt;G28),"Check accepted quantity","Recorded"),"Not accepted")))</x:f>
      </x:c>
    </x:row>
    <x:row r="29" ht="60" customHeight="1">
      <x:c r="A29" s="11"/>
      <x:c r="B29" s="11"/>
      <x:c r="C29" s="11"/>
      <x:c r="D29" s="15"/>
      <x:c r="E29" s="11"/>
      <x:c r="F29" s="11"/>
      <x:c r="G29" s="12"/>
      <x:c r="H29" s="12"/>
      <x:c r="I29" s="11"/>
      <x:c r="J29" s="11"/>
      <x:c r="K29" s="11"/>
      <x:c r="L29" s="11"/>
      <x:c r="M29" s="15"/>
      <x:c r="N29" s="14"/>
      <x:c r="O29" s="11"/>
      <x:c r="P29" s="21" t="str">
        <x:f>IF(A29="","",IF(COUNTIFS($A$7:$A$206,A29,$B$7:$B$206,B29)&lt;&gt;1,"Duplicate event ID",IF(I29&lt;&gt;"Accepted","Review pending",IF(OR(J29="",L29="",NOT(ISNUMBER(M29)),M29&lt;=0,NOT(ISNUMBER(D29)),D29&lt;=0),"Missing approval evidence","Recorded - verify authority"))))</x:f>
      </x:c>
      <x:c r="Q29" s="21" t="str">
        <x:f>IF(A29="","",IF(COUNTIFS(WBS!$A$7:$A$206,C29,WBS!$B$7:$B$206,B29,WBS!$D$7:$D$206,F29)=1,"Matched","Check WBS / unit"))</x:f>
      </x:c>
      <x:c r="R29" s="21" t="str">
        <x:f>IF(A29="","",IF(OR(NOT(ISNUMBER(G29)),G29&lt;0),"Check reported quantity",IF(I29="Accepted",IF(OR(NOT(ISNUMBER(H29)),H29&lt;0,H29&gt;G29),"Check accepted quantity","Recorded"),"Not accepted")))</x:f>
      </x:c>
    </x:row>
    <x:row r="30" ht="60" customHeight="1">
      <x:c r="A30" s="11"/>
      <x:c r="B30" s="11"/>
      <x:c r="C30" s="11"/>
      <x:c r="D30" s="15"/>
      <x:c r="E30" s="11"/>
      <x:c r="F30" s="11"/>
      <x:c r="G30" s="12"/>
      <x:c r="H30" s="12"/>
      <x:c r="I30" s="11"/>
      <x:c r="J30" s="11"/>
      <x:c r="K30" s="11"/>
      <x:c r="L30" s="11"/>
      <x:c r="M30" s="15"/>
      <x:c r="N30" s="14"/>
      <x:c r="O30" s="11"/>
      <x:c r="P30" s="21" t="str">
        <x:f>IF(A30="","",IF(COUNTIFS($A$7:$A$206,A30,$B$7:$B$206,B30)&lt;&gt;1,"Duplicate event ID",IF(I30&lt;&gt;"Accepted","Review pending",IF(OR(J30="",L30="",NOT(ISNUMBER(M30)),M30&lt;=0,NOT(ISNUMBER(D30)),D30&lt;=0),"Missing approval evidence","Recorded - verify authority"))))</x:f>
      </x:c>
      <x:c r="Q30" s="21" t="str">
        <x:f>IF(A30="","",IF(COUNTIFS(WBS!$A$7:$A$206,C30,WBS!$B$7:$B$206,B30,WBS!$D$7:$D$206,F30)=1,"Matched","Check WBS / unit"))</x:f>
      </x:c>
      <x:c r="R30" s="21" t="str">
        <x:f>IF(A30="","",IF(OR(NOT(ISNUMBER(G30)),G30&lt;0),"Check reported quantity",IF(I30="Accepted",IF(OR(NOT(ISNUMBER(H30)),H30&lt;0,H30&gt;G30),"Check accepted quantity","Recorded"),"Not accepted")))</x:f>
      </x:c>
    </x:row>
    <x:row r="31" ht="60" customHeight="1">
      <x:c r="A31" s="11"/>
      <x:c r="B31" s="11"/>
      <x:c r="C31" s="11"/>
      <x:c r="D31" s="15"/>
      <x:c r="E31" s="11"/>
      <x:c r="F31" s="11"/>
      <x:c r="G31" s="12"/>
      <x:c r="H31" s="12"/>
      <x:c r="I31" s="11"/>
      <x:c r="J31" s="11"/>
      <x:c r="K31" s="11"/>
      <x:c r="L31" s="11"/>
      <x:c r="M31" s="15"/>
      <x:c r="N31" s="14"/>
      <x:c r="O31" s="11"/>
      <x:c r="P31" s="21" t="str">
        <x:f>IF(A31="","",IF(COUNTIFS($A$7:$A$206,A31,$B$7:$B$206,B31)&lt;&gt;1,"Duplicate event ID",IF(I31&lt;&gt;"Accepted","Review pending",IF(OR(J31="",L31="",NOT(ISNUMBER(M31)),M31&lt;=0,NOT(ISNUMBER(D31)),D31&lt;=0),"Missing approval evidence","Recorded - verify authority"))))</x:f>
      </x:c>
      <x:c r="Q31" s="21" t="str">
        <x:f>IF(A31="","",IF(COUNTIFS(WBS!$A$7:$A$206,C31,WBS!$B$7:$B$206,B31,WBS!$D$7:$D$206,F31)=1,"Matched","Check WBS / unit"))</x:f>
      </x:c>
      <x:c r="R31" s="21" t="str">
        <x:f>IF(A31="","",IF(OR(NOT(ISNUMBER(G31)),G31&lt;0),"Check reported quantity",IF(I31="Accepted",IF(OR(NOT(ISNUMBER(H31)),H31&lt;0,H31&gt;G31),"Check accepted quantity","Recorded"),"Not accepted")))</x:f>
      </x:c>
    </x:row>
    <x:row r="32" ht="60" customHeight="1">
      <x:c r="A32" s="11"/>
      <x:c r="B32" s="11"/>
      <x:c r="C32" s="11"/>
      <x:c r="D32" s="15"/>
      <x:c r="E32" s="11"/>
      <x:c r="F32" s="11"/>
      <x:c r="G32" s="12"/>
      <x:c r="H32" s="12"/>
      <x:c r="I32" s="11"/>
      <x:c r="J32" s="11"/>
      <x:c r="K32" s="11"/>
      <x:c r="L32" s="11"/>
      <x:c r="M32" s="15"/>
      <x:c r="N32" s="14"/>
      <x:c r="O32" s="11"/>
      <x:c r="P32" s="21" t="str">
        <x:f>IF(A32="","",IF(COUNTIFS($A$7:$A$206,A32,$B$7:$B$206,B32)&lt;&gt;1,"Duplicate event ID",IF(I32&lt;&gt;"Accepted","Review pending",IF(OR(J32="",L32="",NOT(ISNUMBER(M32)),M32&lt;=0,NOT(ISNUMBER(D32)),D32&lt;=0),"Missing approval evidence","Recorded - verify authority"))))</x:f>
      </x:c>
      <x:c r="Q32" s="21" t="str">
        <x:f>IF(A32="","",IF(COUNTIFS(WBS!$A$7:$A$206,C32,WBS!$B$7:$B$206,B32,WBS!$D$7:$D$206,F32)=1,"Matched","Check WBS / unit"))</x:f>
      </x:c>
      <x:c r="R32" s="21" t="str">
        <x:f>IF(A32="","",IF(OR(NOT(ISNUMBER(G32)),G32&lt;0),"Check reported quantity",IF(I32="Accepted",IF(OR(NOT(ISNUMBER(H32)),H32&lt;0,H32&gt;G32),"Check accepted quantity","Recorded"),"Not accepted")))</x:f>
      </x:c>
    </x:row>
    <x:row r="33" ht="60" customHeight="1">
      <x:c r="A33" s="11"/>
      <x:c r="B33" s="11"/>
      <x:c r="C33" s="11"/>
      <x:c r="D33" s="15"/>
      <x:c r="E33" s="11"/>
      <x:c r="F33" s="11"/>
      <x:c r="G33" s="12"/>
      <x:c r="H33" s="12"/>
      <x:c r="I33" s="11"/>
      <x:c r="J33" s="11"/>
      <x:c r="K33" s="11"/>
      <x:c r="L33" s="11"/>
      <x:c r="M33" s="15"/>
      <x:c r="N33" s="14"/>
      <x:c r="O33" s="11"/>
      <x:c r="P33" s="21" t="str">
        <x:f>IF(A33="","",IF(COUNTIFS($A$7:$A$206,A33,$B$7:$B$206,B33)&lt;&gt;1,"Duplicate event ID",IF(I33&lt;&gt;"Accepted","Review pending",IF(OR(J33="",L33="",NOT(ISNUMBER(M33)),M33&lt;=0,NOT(ISNUMBER(D33)),D33&lt;=0),"Missing approval evidence","Recorded - verify authority"))))</x:f>
      </x:c>
      <x:c r="Q33" s="21" t="str">
        <x:f>IF(A33="","",IF(COUNTIFS(WBS!$A$7:$A$206,C33,WBS!$B$7:$B$206,B33,WBS!$D$7:$D$206,F33)=1,"Matched","Check WBS / unit"))</x:f>
      </x:c>
      <x:c r="R33" s="21" t="str">
        <x:f>IF(A33="","",IF(OR(NOT(ISNUMBER(G33)),G33&lt;0),"Check reported quantity",IF(I33="Accepted",IF(OR(NOT(ISNUMBER(H33)),H33&lt;0,H33&gt;G33),"Check accepted quantity","Recorded"),"Not accepted")))</x:f>
      </x:c>
    </x:row>
    <x:row r="34" ht="60" customHeight="1">
      <x:c r="A34" s="11"/>
      <x:c r="B34" s="11"/>
      <x:c r="C34" s="11"/>
      <x:c r="D34" s="15"/>
      <x:c r="E34" s="11"/>
      <x:c r="F34" s="11"/>
      <x:c r="G34" s="12"/>
      <x:c r="H34" s="12"/>
      <x:c r="I34" s="11"/>
      <x:c r="J34" s="11"/>
      <x:c r="K34" s="11"/>
      <x:c r="L34" s="11"/>
      <x:c r="M34" s="15"/>
      <x:c r="N34" s="14"/>
      <x:c r="O34" s="11"/>
      <x:c r="P34" s="21" t="str">
        <x:f>IF(A34="","",IF(COUNTIFS($A$7:$A$206,A34,$B$7:$B$206,B34)&lt;&gt;1,"Duplicate event ID",IF(I34&lt;&gt;"Accepted","Review pending",IF(OR(J34="",L34="",NOT(ISNUMBER(M34)),M34&lt;=0,NOT(ISNUMBER(D34)),D34&lt;=0),"Missing approval evidence","Recorded - verify authority"))))</x:f>
      </x:c>
      <x:c r="Q34" s="21" t="str">
        <x:f>IF(A34="","",IF(COUNTIFS(WBS!$A$7:$A$206,C34,WBS!$B$7:$B$206,B34,WBS!$D$7:$D$206,F34)=1,"Matched","Check WBS / unit"))</x:f>
      </x:c>
      <x:c r="R34" s="21" t="str">
        <x:f>IF(A34="","",IF(OR(NOT(ISNUMBER(G34)),G34&lt;0),"Check reported quantity",IF(I34="Accepted",IF(OR(NOT(ISNUMBER(H34)),H34&lt;0,H34&gt;G34),"Check accepted quantity","Recorded"),"Not accepted")))</x:f>
      </x:c>
    </x:row>
    <x:row r="35" ht="60" customHeight="1">
      <x:c r="A35" s="11"/>
      <x:c r="B35" s="11"/>
      <x:c r="C35" s="11"/>
      <x:c r="D35" s="15"/>
      <x:c r="E35" s="11"/>
      <x:c r="F35" s="11"/>
      <x:c r="G35" s="12"/>
      <x:c r="H35" s="12"/>
      <x:c r="I35" s="11"/>
      <x:c r="J35" s="11"/>
      <x:c r="K35" s="11"/>
      <x:c r="L35" s="11"/>
      <x:c r="M35" s="15"/>
      <x:c r="N35" s="14"/>
      <x:c r="O35" s="11"/>
      <x:c r="P35" s="21" t="str">
        <x:f>IF(A35="","",IF(COUNTIFS($A$7:$A$206,A35,$B$7:$B$206,B35)&lt;&gt;1,"Duplicate event ID",IF(I35&lt;&gt;"Accepted","Review pending",IF(OR(J35="",L35="",NOT(ISNUMBER(M35)),M35&lt;=0,NOT(ISNUMBER(D35)),D35&lt;=0),"Missing approval evidence","Recorded - verify authority"))))</x:f>
      </x:c>
      <x:c r="Q35" s="21" t="str">
        <x:f>IF(A35="","",IF(COUNTIFS(WBS!$A$7:$A$206,C35,WBS!$B$7:$B$206,B35,WBS!$D$7:$D$206,F35)=1,"Matched","Check WBS / unit"))</x:f>
      </x:c>
      <x:c r="R35" s="21" t="str">
        <x:f>IF(A35="","",IF(OR(NOT(ISNUMBER(G35)),G35&lt;0),"Check reported quantity",IF(I35="Accepted",IF(OR(NOT(ISNUMBER(H35)),H35&lt;0,H35&gt;G35),"Check accepted quantity","Recorded"),"Not accepted")))</x:f>
      </x:c>
    </x:row>
    <x:row r="36" ht="60" customHeight="1">
      <x:c r="A36" s="11"/>
      <x:c r="B36" s="11"/>
      <x:c r="C36" s="11"/>
      <x:c r="D36" s="15"/>
      <x:c r="E36" s="11"/>
      <x:c r="F36" s="11"/>
      <x:c r="G36" s="12"/>
      <x:c r="H36" s="12"/>
      <x:c r="I36" s="11"/>
      <x:c r="J36" s="11"/>
      <x:c r="K36" s="11"/>
      <x:c r="L36" s="11"/>
      <x:c r="M36" s="15"/>
      <x:c r="N36" s="14"/>
      <x:c r="O36" s="11"/>
      <x:c r="P36" s="21" t="str">
        <x:f>IF(A36="","",IF(COUNTIFS($A$7:$A$206,A36,$B$7:$B$206,B36)&lt;&gt;1,"Duplicate event ID",IF(I36&lt;&gt;"Accepted","Review pending",IF(OR(J36="",L36="",NOT(ISNUMBER(M36)),M36&lt;=0,NOT(ISNUMBER(D36)),D36&lt;=0),"Missing approval evidence","Recorded - verify authority"))))</x:f>
      </x:c>
      <x:c r="Q36" s="21" t="str">
        <x:f>IF(A36="","",IF(COUNTIFS(WBS!$A$7:$A$206,C36,WBS!$B$7:$B$206,B36,WBS!$D$7:$D$206,F36)=1,"Matched","Check WBS / unit"))</x:f>
      </x:c>
      <x:c r="R36" s="21" t="str">
        <x:f>IF(A36="","",IF(OR(NOT(ISNUMBER(G36)),G36&lt;0),"Check reported quantity",IF(I36="Accepted",IF(OR(NOT(ISNUMBER(H36)),H36&lt;0,H36&gt;G36),"Check accepted quantity","Recorded"),"Not accepted")))</x:f>
      </x:c>
    </x:row>
    <x:row r="37" ht="60" customHeight="1">
      <x:c r="A37" s="11"/>
      <x:c r="B37" s="11"/>
      <x:c r="C37" s="11"/>
      <x:c r="D37" s="15"/>
      <x:c r="E37" s="11"/>
      <x:c r="F37" s="11"/>
      <x:c r="G37" s="12"/>
      <x:c r="H37" s="12"/>
      <x:c r="I37" s="11"/>
      <x:c r="J37" s="11"/>
      <x:c r="K37" s="11"/>
      <x:c r="L37" s="11"/>
      <x:c r="M37" s="15"/>
      <x:c r="N37" s="14"/>
      <x:c r="O37" s="11"/>
      <x:c r="P37" s="21" t="str">
        <x:f>IF(A37="","",IF(COUNTIFS($A$7:$A$206,A37,$B$7:$B$206,B37)&lt;&gt;1,"Duplicate event ID",IF(I37&lt;&gt;"Accepted","Review pending",IF(OR(J37="",L37="",NOT(ISNUMBER(M37)),M37&lt;=0,NOT(ISNUMBER(D37)),D37&lt;=0),"Missing approval evidence","Recorded - verify authority"))))</x:f>
      </x:c>
      <x:c r="Q37" s="21" t="str">
        <x:f>IF(A37="","",IF(COUNTIFS(WBS!$A$7:$A$206,C37,WBS!$B$7:$B$206,B37,WBS!$D$7:$D$206,F37)=1,"Matched","Check WBS / unit"))</x:f>
      </x:c>
      <x:c r="R37" s="21" t="str">
        <x:f>IF(A37="","",IF(OR(NOT(ISNUMBER(G37)),G37&lt;0),"Check reported quantity",IF(I37="Accepted",IF(OR(NOT(ISNUMBER(H37)),H37&lt;0,H37&gt;G37),"Check accepted quantity","Recorded"),"Not accepted")))</x:f>
      </x:c>
    </x:row>
    <x:row r="38" ht="60" customHeight="1">
      <x:c r="A38" s="11"/>
      <x:c r="B38" s="11"/>
      <x:c r="C38" s="11"/>
      <x:c r="D38" s="15"/>
      <x:c r="E38" s="11"/>
      <x:c r="F38" s="11"/>
      <x:c r="G38" s="12"/>
      <x:c r="H38" s="12"/>
      <x:c r="I38" s="11"/>
      <x:c r="J38" s="11"/>
      <x:c r="K38" s="11"/>
      <x:c r="L38" s="11"/>
      <x:c r="M38" s="15"/>
      <x:c r="N38" s="14"/>
      <x:c r="O38" s="11"/>
      <x:c r="P38" s="21" t="str">
        <x:f>IF(A38="","",IF(COUNTIFS($A$7:$A$206,A38,$B$7:$B$206,B38)&lt;&gt;1,"Duplicate event ID",IF(I38&lt;&gt;"Accepted","Review pending",IF(OR(J38="",L38="",NOT(ISNUMBER(M38)),M38&lt;=0,NOT(ISNUMBER(D38)),D38&lt;=0),"Missing approval evidence","Recorded - verify authority"))))</x:f>
      </x:c>
      <x:c r="Q38" s="21" t="str">
        <x:f>IF(A38="","",IF(COUNTIFS(WBS!$A$7:$A$206,C38,WBS!$B$7:$B$206,B38,WBS!$D$7:$D$206,F38)=1,"Matched","Check WBS / unit"))</x:f>
      </x:c>
      <x:c r="R38" s="21" t="str">
        <x:f>IF(A38="","",IF(OR(NOT(ISNUMBER(G38)),G38&lt;0),"Check reported quantity",IF(I38="Accepted",IF(OR(NOT(ISNUMBER(H38)),H38&lt;0,H38&gt;G38),"Check accepted quantity","Recorded"),"Not accepted")))</x:f>
      </x:c>
    </x:row>
    <x:row r="39" ht="60" customHeight="1">
      <x:c r="A39" s="11"/>
      <x:c r="B39" s="11"/>
      <x:c r="C39" s="11"/>
      <x:c r="D39" s="15"/>
      <x:c r="E39" s="11"/>
      <x:c r="F39" s="11"/>
      <x:c r="G39" s="12"/>
      <x:c r="H39" s="12"/>
      <x:c r="I39" s="11"/>
      <x:c r="J39" s="11"/>
      <x:c r="K39" s="11"/>
      <x:c r="L39" s="11"/>
      <x:c r="M39" s="15"/>
      <x:c r="N39" s="14"/>
      <x:c r="O39" s="11"/>
      <x:c r="P39" s="21" t="str">
        <x:f>IF(A39="","",IF(COUNTIFS($A$7:$A$206,A39,$B$7:$B$206,B39)&lt;&gt;1,"Duplicate event ID",IF(I39&lt;&gt;"Accepted","Review pending",IF(OR(J39="",L39="",NOT(ISNUMBER(M39)),M39&lt;=0,NOT(ISNUMBER(D39)),D39&lt;=0),"Missing approval evidence","Recorded - verify authority"))))</x:f>
      </x:c>
      <x:c r="Q39" s="21" t="str">
        <x:f>IF(A39="","",IF(COUNTIFS(WBS!$A$7:$A$206,C39,WBS!$B$7:$B$206,B39,WBS!$D$7:$D$206,F39)=1,"Matched","Check WBS / unit"))</x:f>
      </x:c>
      <x:c r="R39" s="21" t="str">
        <x:f>IF(A39="","",IF(OR(NOT(ISNUMBER(G39)),G39&lt;0),"Check reported quantity",IF(I39="Accepted",IF(OR(NOT(ISNUMBER(H39)),H39&lt;0,H39&gt;G39),"Check accepted quantity","Recorded"),"Not accepted")))</x:f>
      </x:c>
    </x:row>
    <x:row r="40" ht="60" customHeight="1">
      <x:c r="A40" s="11"/>
      <x:c r="B40" s="11"/>
      <x:c r="C40" s="11"/>
      <x:c r="D40" s="15"/>
      <x:c r="E40" s="11"/>
      <x:c r="F40" s="11"/>
      <x:c r="G40" s="12"/>
      <x:c r="H40" s="12"/>
      <x:c r="I40" s="11"/>
      <x:c r="J40" s="11"/>
      <x:c r="K40" s="11"/>
      <x:c r="L40" s="11"/>
      <x:c r="M40" s="15"/>
      <x:c r="N40" s="14"/>
      <x:c r="O40" s="11"/>
      <x:c r="P40" s="21" t="str">
        <x:f>IF(A40="","",IF(COUNTIFS($A$7:$A$206,A40,$B$7:$B$206,B40)&lt;&gt;1,"Duplicate event ID",IF(I40&lt;&gt;"Accepted","Review pending",IF(OR(J40="",L40="",NOT(ISNUMBER(M40)),M40&lt;=0,NOT(ISNUMBER(D40)),D40&lt;=0),"Missing approval evidence","Recorded - verify authority"))))</x:f>
      </x:c>
      <x:c r="Q40" s="21" t="str">
        <x:f>IF(A40="","",IF(COUNTIFS(WBS!$A$7:$A$206,C40,WBS!$B$7:$B$206,B40,WBS!$D$7:$D$206,F40)=1,"Matched","Check WBS / unit"))</x:f>
      </x:c>
      <x:c r="R40" s="21" t="str">
        <x:f>IF(A40="","",IF(OR(NOT(ISNUMBER(G40)),G40&lt;0),"Check reported quantity",IF(I40="Accepted",IF(OR(NOT(ISNUMBER(H40)),H40&lt;0,H40&gt;G40),"Check accepted quantity","Recorded"),"Not accepted")))</x:f>
      </x:c>
    </x:row>
    <x:row r="41" ht="60" customHeight="1">
      <x:c r="A41" s="11"/>
      <x:c r="B41" s="11"/>
      <x:c r="C41" s="11"/>
      <x:c r="D41" s="15"/>
      <x:c r="E41" s="11"/>
      <x:c r="F41" s="11"/>
      <x:c r="G41" s="12"/>
      <x:c r="H41" s="12"/>
      <x:c r="I41" s="11"/>
      <x:c r="J41" s="11"/>
      <x:c r="K41" s="11"/>
      <x:c r="L41" s="11"/>
      <x:c r="M41" s="15"/>
      <x:c r="N41" s="14"/>
      <x:c r="O41" s="11"/>
      <x:c r="P41" s="21" t="str">
        <x:f>IF(A41="","",IF(COUNTIFS($A$7:$A$206,A41,$B$7:$B$206,B41)&lt;&gt;1,"Duplicate event ID",IF(I41&lt;&gt;"Accepted","Review pending",IF(OR(J41="",L41="",NOT(ISNUMBER(M41)),M41&lt;=0,NOT(ISNUMBER(D41)),D41&lt;=0),"Missing approval evidence","Recorded - verify authority"))))</x:f>
      </x:c>
      <x:c r="Q41" s="21" t="str">
        <x:f>IF(A41="","",IF(COUNTIFS(WBS!$A$7:$A$206,C41,WBS!$B$7:$B$206,B41,WBS!$D$7:$D$206,F41)=1,"Matched","Check WBS / unit"))</x:f>
      </x:c>
      <x:c r="R41" s="21" t="str">
        <x:f>IF(A41="","",IF(OR(NOT(ISNUMBER(G41)),G41&lt;0),"Check reported quantity",IF(I41="Accepted",IF(OR(NOT(ISNUMBER(H41)),H41&lt;0,H41&gt;G41),"Check accepted quantity","Recorded"),"Not accepted")))</x:f>
      </x:c>
    </x:row>
    <x:row r="42" ht="60" customHeight="1">
      <x:c r="A42" s="11"/>
      <x:c r="B42" s="11"/>
      <x:c r="C42" s="11"/>
      <x:c r="D42" s="15"/>
      <x:c r="E42" s="11"/>
      <x:c r="F42" s="11"/>
      <x:c r="G42" s="12"/>
      <x:c r="H42" s="12"/>
      <x:c r="I42" s="11"/>
      <x:c r="J42" s="11"/>
      <x:c r="K42" s="11"/>
      <x:c r="L42" s="11"/>
      <x:c r="M42" s="15"/>
      <x:c r="N42" s="14"/>
      <x:c r="O42" s="11"/>
      <x:c r="P42" s="21" t="str">
        <x:f>IF(A42="","",IF(COUNTIFS($A$7:$A$206,A42,$B$7:$B$206,B42)&lt;&gt;1,"Duplicate event ID",IF(I42&lt;&gt;"Accepted","Review pending",IF(OR(J42="",L42="",NOT(ISNUMBER(M42)),M42&lt;=0,NOT(ISNUMBER(D42)),D42&lt;=0),"Missing approval evidence","Recorded - verify authority"))))</x:f>
      </x:c>
      <x:c r="Q42" s="21" t="str">
        <x:f>IF(A42="","",IF(COUNTIFS(WBS!$A$7:$A$206,C42,WBS!$B$7:$B$206,B42,WBS!$D$7:$D$206,F42)=1,"Matched","Check WBS / unit"))</x:f>
      </x:c>
      <x:c r="R42" s="21" t="str">
        <x:f>IF(A42="","",IF(OR(NOT(ISNUMBER(G42)),G42&lt;0),"Check reported quantity",IF(I42="Accepted",IF(OR(NOT(ISNUMBER(H42)),H42&lt;0,H42&gt;G42),"Check accepted quantity","Recorded"),"Not accepted")))</x:f>
      </x:c>
    </x:row>
    <x:row r="43" ht="60" customHeight="1">
      <x:c r="A43" s="11"/>
      <x:c r="B43" s="11"/>
      <x:c r="C43" s="11"/>
      <x:c r="D43" s="15"/>
      <x:c r="E43" s="11"/>
      <x:c r="F43" s="11"/>
      <x:c r="G43" s="12"/>
      <x:c r="H43" s="12"/>
      <x:c r="I43" s="11"/>
      <x:c r="J43" s="11"/>
      <x:c r="K43" s="11"/>
      <x:c r="L43" s="11"/>
      <x:c r="M43" s="15"/>
      <x:c r="N43" s="14"/>
      <x:c r="O43" s="11"/>
      <x:c r="P43" s="21" t="str">
        <x:f>IF(A43="","",IF(COUNTIFS($A$7:$A$206,A43,$B$7:$B$206,B43)&lt;&gt;1,"Duplicate event ID",IF(I43&lt;&gt;"Accepted","Review pending",IF(OR(J43="",L43="",NOT(ISNUMBER(M43)),M43&lt;=0,NOT(ISNUMBER(D43)),D43&lt;=0),"Missing approval evidence","Recorded - verify authority"))))</x:f>
      </x:c>
      <x:c r="Q43" s="21" t="str">
        <x:f>IF(A43="","",IF(COUNTIFS(WBS!$A$7:$A$206,C43,WBS!$B$7:$B$206,B43,WBS!$D$7:$D$206,F43)=1,"Matched","Check WBS / unit"))</x:f>
      </x:c>
      <x:c r="R43" s="21" t="str">
        <x:f>IF(A43="","",IF(OR(NOT(ISNUMBER(G43)),G43&lt;0),"Check reported quantity",IF(I43="Accepted",IF(OR(NOT(ISNUMBER(H43)),H43&lt;0,H43&gt;G43),"Check accepted quantity","Recorded"),"Not accepted")))</x:f>
      </x:c>
    </x:row>
    <x:row r="44" ht="60" customHeight="1">
      <x:c r="A44" s="11"/>
      <x:c r="B44" s="11"/>
      <x:c r="C44" s="11"/>
      <x:c r="D44" s="15"/>
      <x:c r="E44" s="11"/>
      <x:c r="F44" s="11"/>
      <x:c r="G44" s="12"/>
      <x:c r="H44" s="12"/>
      <x:c r="I44" s="11"/>
      <x:c r="J44" s="11"/>
      <x:c r="K44" s="11"/>
      <x:c r="L44" s="11"/>
      <x:c r="M44" s="15"/>
      <x:c r="N44" s="14"/>
      <x:c r="O44" s="11"/>
      <x:c r="P44" s="21" t="str">
        <x:f>IF(A44="","",IF(COUNTIFS($A$7:$A$206,A44,$B$7:$B$206,B44)&lt;&gt;1,"Duplicate event ID",IF(I44&lt;&gt;"Accepted","Review pending",IF(OR(J44="",L44="",NOT(ISNUMBER(M44)),M44&lt;=0,NOT(ISNUMBER(D44)),D44&lt;=0),"Missing approval evidence","Recorded - verify authority"))))</x:f>
      </x:c>
      <x:c r="Q44" s="21" t="str">
        <x:f>IF(A44="","",IF(COUNTIFS(WBS!$A$7:$A$206,C44,WBS!$B$7:$B$206,B44,WBS!$D$7:$D$206,F44)=1,"Matched","Check WBS / unit"))</x:f>
      </x:c>
      <x:c r="R44" s="21" t="str">
        <x:f>IF(A44="","",IF(OR(NOT(ISNUMBER(G44)),G44&lt;0),"Check reported quantity",IF(I44="Accepted",IF(OR(NOT(ISNUMBER(H44)),H44&lt;0,H44&gt;G44),"Check accepted quantity","Recorded"),"Not accepted")))</x:f>
      </x:c>
    </x:row>
    <x:row r="45" ht="60" customHeight="1">
      <x:c r="A45" s="11"/>
      <x:c r="B45" s="11"/>
      <x:c r="C45" s="11"/>
      <x:c r="D45" s="15"/>
      <x:c r="E45" s="11"/>
      <x:c r="F45" s="11"/>
      <x:c r="G45" s="12"/>
      <x:c r="H45" s="12"/>
      <x:c r="I45" s="11"/>
      <x:c r="J45" s="11"/>
      <x:c r="K45" s="11"/>
      <x:c r="L45" s="11"/>
      <x:c r="M45" s="15"/>
      <x:c r="N45" s="14"/>
      <x:c r="O45" s="11"/>
      <x:c r="P45" s="21" t="str">
        <x:f>IF(A45="","",IF(COUNTIFS($A$7:$A$206,A45,$B$7:$B$206,B45)&lt;&gt;1,"Duplicate event ID",IF(I45&lt;&gt;"Accepted","Review pending",IF(OR(J45="",L45="",NOT(ISNUMBER(M45)),M45&lt;=0,NOT(ISNUMBER(D45)),D45&lt;=0),"Missing approval evidence","Recorded - verify authority"))))</x:f>
      </x:c>
      <x:c r="Q45" s="21" t="str">
        <x:f>IF(A45="","",IF(COUNTIFS(WBS!$A$7:$A$206,C45,WBS!$B$7:$B$206,B45,WBS!$D$7:$D$206,F45)=1,"Matched","Check WBS / unit"))</x:f>
      </x:c>
      <x:c r="R45" s="21" t="str">
        <x:f>IF(A45="","",IF(OR(NOT(ISNUMBER(G45)),G45&lt;0),"Check reported quantity",IF(I45="Accepted",IF(OR(NOT(ISNUMBER(H45)),H45&lt;0,H45&gt;G45),"Check accepted quantity","Recorded"),"Not accepted")))</x:f>
      </x:c>
    </x:row>
    <x:row r="46" ht="60" customHeight="1">
      <x:c r="A46" s="11"/>
      <x:c r="B46" s="11"/>
      <x:c r="C46" s="11"/>
      <x:c r="D46" s="15"/>
      <x:c r="E46" s="11"/>
      <x:c r="F46" s="11"/>
      <x:c r="G46" s="12"/>
      <x:c r="H46" s="12"/>
      <x:c r="I46" s="11"/>
      <x:c r="J46" s="11"/>
      <x:c r="K46" s="11"/>
      <x:c r="L46" s="11"/>
      <x:c r="M46" s="15"/>
      <x:c r="N46" s="14"/>
      <x:c r="O46" s="11"/>
      <x:c r="P46" s="21" t="str">
        <x:f>IF(A46="","",IF(COUNTIFS($A$7:$A$206,A46,$B$7:$B$206,B46)&lt;&gt;1,"Duplicate event ID",IF(I46&lt;&gt;"Accepted","Review pending",IF(OR(J46="",L46="",NOT(ISNUMBER(M46)),M46&lt;=0,NOT(ISNUMBER(D46)),D46&lt;=0),"Missing approval evidence","Recorded - verify authority"))))</x:f>
      </x:c>
      <x:c r="Q46" s="21" t="str">
        <x:f>IF(A46="","",IF(COUNTIFS(WBS!$A$7:$A$206,C46,WBS!$B$7:$B$206,B46,WBS!$D$7:$D$206,F46)=1,"Matched","Check WBS / unit"))</x:f>
      </x:c>
      <x:c r="R46" s="21" t="str">
        <x:f>IF(A46="","",IF(OR(NOT(ISNUMBER(G46)),G46&lt;0),"Check reported quantity",IF(I46="Accepted",IF(OR(NOT(ISNUMBER(H46)),H46&lt;0,H46&gt;G46),"Check accepted quantity","Recorded"),"Not accepted")))</x:f>
      </x:c>
    </x:row>
    <x:row r="47" ht="60" customHeight="1">
      <x:c r="A47" s="11"/>
      <x:c r="B47" s="11"/>
      <x:c r="C47" s="11"/>
      <x:c r="D47" s="15"/>
      <x:c r="E47" s="11"/>
      <x:c r="F47" s="11"/>
      <x:c r="G47" s="12"/>
      <x:c r="H47" s="12"/>
      <x:c r="I47" s="11"/>
      <x:c r="J47" s="11"/>
      <x:c r="K47" s="11"/>
      <x:c r="L47" s="11"/>
      <x:c r="M47" s="15"/>
      <x:c r="N47" s="14"/>
      <x:c r="O47" s="11"/>
      <x:c r="P47" s="21" t="str">
        <x:f>IF(A47="","",IF(COUNTIFS($A$7:$A$206,A47,$B$7:$B$206,B47)&lt;&gt;1,"Duplicate event ID",IF(I47&lt;&gt;"Accepted","Review pending",IF(OR(J47="",L47="",NOT(ISNUMBER(M47)),M47&lt;=0,NOT(ISNUMBER(D47)),D47&lt;=0),"Missing approval evidence","Recorded - verify authority"))))</x:f>
      </x:c>
      <x:c r="Q47" s="21" t="str">
        <x:f>IF(A47="","",IF(COUNTIFS(WBS!$A$7:$A$206,C47,WBS!$B$7:$B$206,B47,WBS!$D$7:$D$206,F47)=1,"Matched","Check WBS / unit"))</x:f>
      </x:c>
      <x:c r="R47" s="21" t="str">
        <x:f>IF(A47="","",IF(OR(NOT(ISNUMBER(G47)),G47&lt;0),"Check reported quantity",IF(I47="Accepted",IF(OR(NOT(ISNUMBER(H47)),H47&lt;0,H47&gt;G47),"Check accepted quantity","Recorded"),"Not accepted")))</x:f>
      </x:c>
    </x:row>
    <x:row r="48" ht="60" customHeight="1">
      <x:c r="A48" s="11"/>
      <x:c r="B48" s="11"/>
      <x:c r="C48" s="11"/>
      <x:c r="D48" s="15"/>
      <x:c r="E48" s="11"/>
      <x:c r="F48" s="11"/>
      <x:c r="G48" s="12"/>
      <x:c r="H48" s="12"/>
      <x:c r="I48" s="11"/>
      <x:c r="J48" s="11"/>
      <x:c r="K48" s="11"/>
      <x:c r="L48" s="11"/>
      <x:c r="M48" s="15"/>
      <x:c r="N48" s="14"/>
      <x:c r="O48" s="11"/>
      <x:c r="P48" s="21" t="str">
        <x:f>IF(A48="","",IF(COUNTIFS($A$7:$A$206,A48,$B$7:$B$206,B48)&lt;&gt;1,"Duplicate event ID",IF(I48&lt;&gt;"Accepted","Review pending",IF(OR(J48="",L48="",NOT(ISNUMBER(M48)),M48&lt;=0,NOT(ISNUMBER(D48)),D48&lt;=0),"Missing approval evidence","Recorded - verify authority"))))</x:f>
      </x:c>
      <x:c r="Q48" s="21" t="str">
        <x:f>IF(A48="","",IF(COUNTIFS(WBS!$A$7:$A$206,C48,WBS!$B$7:$B$206,B48,WBS!$D$7:$D$206,F48)=1,"Matched","Check WBS / unit"))</x:f>
      </x:c>
      <x:c r="R48" s="21" t="str">
        <x:f>IF(A48="","",IF(OR(NOT(ISNUMBER(G48)),G48&lt;0),"Check reported quantity",IF(I48="Accepted",IF(OR(NOT(ISNUMBER(H48)),H48&lt;0,H48&gt;G48),"Check accepted quantity","Recorded"),"Not accepted")))</x:f>
      </x:c>
    </x:row>
    <x:row r="49" ht="60" customHeight="1">
      <x:c r="A49" s="11"/>
      <x:c r="B49" s="11"/>
      <x:c r="C49" s="11"/>
      <x:c r="D49" s="15"/>
      <x:c r="E49" s="11"/>
      <x:c r="F49" s="11"/>
      <x:c r="G49" s="12"/>
      <x:c r="H49" s="12"/>
      <x:c r="I49" s="11"/>
      <x:c r="J49" s="11"/>
      <x:c r="K49" s="11"/>
      <x:c r="L49" s="11"/>
      <x:c r="M49" s="15"/>
      <x:c r="N49" s="14"/>
      <x:c r="O49" s="11"/>
      <x:c r="P49" s="21" t="str">
        <x:f>IF(A49="","",IF(COUNTIFS($A$7:$A$206,A49,$B$7:$B$206,B49)&lt;&gt;1,"Duplicate event ID",IF(I49&lt;&gt;"Accepted","Review pending",IF(OR(J49="",L49="",NOT(ISNUMBER(M49)),M49&lt;=0,NOT(ISNUMBER(D49)),D49&lt;=0),"Missing approval evidence","Recorded - verify authority"))))</x:f>
      </x:c>
      <x:c r="Q49" s="21" t="str">
        <x:f>IF(A49="","",IF(COUNTIFS(WBS!$A$7:$A$206,C49,WBS!$B$7:$B$206,B49,WBS!$D$7:$D$206,F49)=1,"Matched","Check WBS / unit"))</x:f>
      </x:c>
      <x:c r="R49" s="21" t="str">
        <x:f>IF(A49="","",IF(OR(NOT(ISNUMBER(G49)),G49&lt;0),"Check reported quantity",IF(I49="Accepted",IF(OR(NOT(ISNUMBER(H49)),H49&lt;0,H49&gt;G49),"Check accepted quantity","Recorded"),"Not accepted")))</x:f>
      </x:c>
    </x:row>
    <x:row r="50" ht="60" customHeight="1">
      <x:c r="A50" s="11"/>
      <x:c r="B50" s="11"/>
      <x:c r="C50" s="11"/>
      <x:c r="D50" s="15"/>
      <x:c r="E50" s="11"/>
      <x:c r="F50" s="11"/>
      <x:c r="G50" s="12"/>
      <x:c r="H50" s="12"/>
      <x:c r="I50" s="11"/>
      <x:c r="J50" s="11"/>
      <x:c r="K50" s="11"/>
      <x:c r="L50" s="11"/>
      <x:c r="M50" s="15"/>
      <x:c r="N50" s="14"/>
      <x:c r="O50" s="11"/>
      <x:c r="P50" s="21" t="str">
        <x:f>IF(A50="","",IF(COUNTIFS($A$7:$A$206,A50,$B$7:$B$206,B50)&lt;&gt;1,"Duplicate event ID",IF(I50&lt;&gt;"Accepted","Review pending",IF(OR(J50="",L50="",NOT(ISNUMBER(M50)),M50&lt;=0,NOT(ISNUMBER(D50)),D50&lt;=0),"Missing approval evidence","Recorded - verify authority"))))</x:f>
      </x:c>
      <x:c r="Q50" s="21" t="str">
        <x:f>IF(A50="","",IF(COUNTIFS(WBS!$A$7:$A$206,C50,WBS!$B$7:$B$206,B50,WBS!$D$7:$D$206,F50)=1,"Matched","Check WBS / unit"))</x:f>
      </x:c>
      <x:c r="R50" s="21" t="str">
        <x:f>IF(A50="","",IF(OR(NOT(ISNUMBER(G50)),G50&lt;0),"Check reported quantity",IF(I50="Accepted",IF(OR(NOT(ISNUMBER(H50)),H50&lt;0,H50&gt;G50),"Check accepted quantity","Recorded"),"Not accepted")))</x:f>
      </x:c>
    </x:row>
    <x:row r="51" ht="60" customHeight="1">
      <x:c r="A51" s="11"/>
      <x:c r="B51" s="11"/>
      <x:c r="C51" s="11"/>
      <x:c r="D51" s="15"/>
      <x:c r="E51" s="11"/>
      <x:c r="F51" s="11"/>
      <x:c r="G51" s="12"/>
      <x:c r="H51" s="12"/>
      <x:c r="I51" s="11"/>
      <x:c r="J51" s="11"/>
      <x:c r="K51" s="11"/>
      <x:c r="L51" s="11"/>
      <x:c r="M51" s="15"/>
      <x:c r="N51" s="14"/>
      <x:c r="O51" s="11"/>
      <x:c r="P51" s="21" t="str">
        <x:f>IF(A51="","",IF(COUNTIFS($A$7:$A$206,A51,$B$7:$B$206,B51)&lt;&gt;1,"Duplicate event ID",IF(I51&lt;&gt;"Accepted","Review pending",IF(OR(J51="",L51="",NOT(ISNUMBER(M51)),M51&lt;=0,NOT(ISNUMBER(D51)),D51&lt;=0),"Missing approval evidence","Recorded - verify authority"))))</x:f>
      </x:c>
      <x:c r="Q51" s="21" t="str">
        <x:f>IF(A51="","",IF(COUNTIFS(WBS!$A$7:$A$206,C51,WBS!$B$7:$B$206,B51,WBS!$D$7:$D$206,F51)=1,"Matched","Check WBS / unit"))</x:f>
      </x:c>
      <x:c r="R51" s="21" t="str">
        <x:f>IF(A51="","",IF(OR(NOT(ISNUMBER(G51)),G51&lt;0),"Check reported quantity",IF(I51="Accepted",IF(OR(NOT(ISNUMBER(H51)),H51&lt;0,H51&gt;G51),"Check accepted quantity","Recorded"),"Not accepted")))</x:f>
      </x:c>
    </x:row>
    <x:row r="52" ht="60" customHeight="1">
      <x:c r="A52" s="11"/>
      <x:c r="B52" s="11"/>
      <x:c r="C52" s="11"/>
      <x:c r="D52" s="15"/>
      <x:c r="E52" s="11"/>
      <x:c r="F52" s="11"/>
      <x:c r="G52" s="12"/>
      <x:c r="H52" s="12"/>
      <x:c r="I52" s="11"/>
      <x:c r="J52" s="11"/>
      <x:c r="K52" s="11"/>
      <x:c r="L52" s="11"/>
      <x:c r="M52" s="15"/>
      <x:c r="N52" s="14"/>
      <x:c r="O52" s="11"/>
      <x:c r="P52" s="21" t="str">
        <x:f>IF(A52="","",IF(COUNTIFS($A$7:$A$206,A52,$B$7:$B$206,B52)&lt;&gt;1,"Duplicate event ID",IF(I52&lt;&gt;"Accepted","Review pending",IF(OR(J52="",L52="",NOT(ISNUMBER(M52)),M52&lt;=0,NOT(ISNUMBER(D52)),D52&lt;=0),"Missing approval evidence","Recorded - verify authority"))))</x:f>
      </x:c>
      <x:c r="Q52" s="21" t="str">
        <x:f>IF(A52="","",IF(COUNTIFS(WBS!$A$7:$A$206,C52,WBS!$B$7:$B$206,B52,WBS!$D$7:$D$206,F52)=1,"Matched","Check WBS / unit"))</x:f>
      </x:c>
      <x:c r="R52" s="21" t="str">
        <x:f>IF(A52="","",IF(OR(NOT(ISNUMBER(G52)),G52&lt;0),"Check reported quantity",IF(I52="Accepted",IF(OR(NOT(ISNUMBER(H52)),H52&lt;0,H52&gt;G52),"Check accepted quantity","Recorded"),"Not accepted")))</x:f>
      </x:c>
    </x:row>
    <x:row r="53" ht="60" customHeight="1">
      <x:c r="A53" s="11"/>
      <x:c r="B53" s="11"/>
      <x:c r="C53" s="11"/>
      <x:c r="D53" s="15"/>
      <x:c r="E53" s="11"/>
      <x:c r="F53" s="11"/>
      <x:c r="G53" s="12"/>
      <x:c r="H53" s="12"/>
      <x:c r="I53" s="11"/>
      <x:c r="J53" s="11"/>
      <x:c r="K53" s="11"/>
      <x:c r="L53" s="11"/>
      <x:c r="M53" s="15"/>
      <x:c r="N53" s="14"/>
      <x:c r="O53" s="11"/>
      <x:c r="P53" s="21" t="str">
        <x:f>IF(A53="","",IF(COUNTIFS($A$7:$A$206,A53,$B$7:$B$206,B53)&lt;&gt;1,"Duplicate event ID",IF(I53&lt;&gt;"Accepted","Review pending",IF(OR(J53="",L53="",NOT(ISNUMBER(M53)),M53&lt;=0,NOT(ISNUMBER(D53)),D53&lt;=0),"Missing approval evidence","Recorded - verify authority"))))</x:f>
      </x:c>
      <x:c r="Q53" s="21" t="str">
        <x:f>IF(A53="","",IF(COUNTIFS(WBS!$A$7:$A$206,C53,WBS!$B$7:$B$206,B53,WBS!$D$7:$D$206,F53)=1,"Matched","Check WBS / unit"))</x:f>
      </x:c>
      <x:c r="R53" s="21" t="str">
        <x:f>IF(A53="","",IF(OR(NOT(ISNUMBER(G53)),G53&lt;0),"Check reported quantity",IF(I53="Accepted",IF(OR(NOT(ISNUMBER(H53)),H53&lt;0,H53&gt;G53),"Check accepted quantity","Recorded"),"Not accepted")))</x:f>
      </x:c>
    </x:row>
    <x:row r="54" ht="60" customHeight="1">
      <x:c r="A54" s="11"/>
      <x:c r="B54" s="11"/>
      <x:c r="C54" s="11"/>
      <x:c r="D54" s="15"/>
      <x:c r="E54" s="11"/>
      <x:c r="F54" s="11"/>
      <x:c r="G54" s="12"/>
      <x:c r="H54" s="12"/>
      <x:c r="I54" s="11"/>
      <x:c r="J54" s="11"/>
      <x:c r="K54" s="11"/>
      <x:c r="L54" s="11"/>
      <x:c r="M54" s="15"/>
      <x:c r="N54" s="14"/>
      <x:c r="O54" s="11"/>
      <x:c r="P54" s="21" t="str">
        <x:f>IF(A54="","",IF(COUNTIFS($A$7:$A$206,A54,$B$7:$B$206,B54)&lt;&gt;1,"Duplicate event ID",IF(I54&lt;&gt;"Accepted","Review pending",IF(OR(J54="",L54="",NOT(ISNUMBER(M54)),M54&lt;=0,NOT(ISNUMBER(D54)),D54&lt;=0),"Missing approval evidence","Recorded - verify authority"))))</x:f>
      </x:c>
      <x:c r="Q54" s="21" t="str">
        <x:f>IF(A54="","",IF(COUNTIFS(WBS!$A$7:$A$206,C54,WBS!$B$7:$B$206,B54,WBS!$D$7:$D$206,F54)=1,"Matched","Check WBS / unit"))</x:f>
      </x:c>
      <x:c r="R54" s="21" t="str">
        <x:f>IF(A54="","",IF(OR(NOT(ISNUMBER(G54)),G54&lt;0),"Check reported quantity",IF(I54="Accepted",IF(OR(NOT(ISNUMBER(H54)),H54&lt;0,H54&gt;G54),"Check accepted quantity","Recorded"),"Not accepted")))</x:f>
      </x:c>
    </x:row>
    <x:row r="55" ht="60" customHeight="1">
      <x:c r="A55" s="11"/>
      <x:c r="B55" s="11"/>
      <x:c r="C55" s="11"/>
      <x:c r="D55" s="15"/>
      <x:c r="E55" s="11"/>
      <x:c r="F55" s="11"/>
      <x:c r="G55" s="12"/>
      <x:c r="H55" s="12"/>
      <x:c r="I55" s="11"/>
      <x:c r="J55" s="11"/>
      <x:c r="K55" s="11"/>
      <x:c r="L55" s="11"/>
      <x:c r="M55" s="15"/>
      <x:c r="N55" s="14"/>
      <x:c r="O55" s="11"/>
      <x:c r="P55" s="21" t="str">
        <x:f>IF(A55="","",IF(COUNTIFS($A$7:$A$206,A55,$B$7:$B$206,B55)&lt;&gt;1,"Duplicate event ID",IF(I55&lt;&gt;"Accepted","Review pending",IF(OR(J55="",L55="",NOT(ISNUMBER(M55)),M55&lt;=0,NOT(ISNUMBER(D55)),D55&lt;=0),"Missing approval evidence","Recorded - verify authority"))))</x:f>
      </x:c>
      <x:c r="Q55" s="21" t="str">
        <x:f>IF(A55="","",IF(COUNTIFS(WBS!$A$7:$A$206,C55,WBS!$B$7:$B$206,B55,WBS!$D$7:$D$206,F55)=1,"Matched","Check WBS / unit"))</x:f>
      </x:c>
      <x:c r="R55" s="21" t="str">
        <x:f>IF(A55="","",IF(OR(NOT(ISNUMBER(G55)),G55&lt;0),"Check reported quantity",IF(I55="Accepted",IF(OR(NOT(ISNUMBER(H55)),H55&lt;0,H55&gt;G55),"Check accepted quantity","Recorded"),"Not accepted")))</x:f>
      </x:c>
    </x:row>
    <x:row r="56" ht="60" customHeight="1">
      <x:c r="A56" s="11"/>
      <x:c r="B56" s="11"/>
      <x:c r="C56" s="11"/>
      <x:c r="D56" s="15"/>
      <x:c r="E56" s="11"/>
      <x:c r="F56" s="11"/>
      <x:c r="G56" s="12"/>
      <x:c r="H56" s="12"/>
      <x:c r="I56" s="11"/>
      <x:c r="J56" s="11"/>
      <x:c r="K56" s="11"/>
      <x:c r="L56" s="11"/>
      <x:c r="M56" s="15"/>
      <x:c r="N56" s="14"/>
      <x:c r="O56" s="11"/>
      <x:c r="P56" s="21" t="str">
        <x:f>IF(A56="","",IF(COUNTIFS($A$7:$A$206,A56,$B$7:$B$206,B56)&lt;&gt;1,"Duplicate event ID",IF(I56&lt;&gt;"Accepted","Review pending",IF(OR(J56="",L56="",NOT(ISNUMBER(M56)),M56&lt;=0,NOT(ISNUMBER(D56)),D56&lt;=0),"Missing approval evidence","Recorded - verify authority"))))</x:f>
      </x:c>
      <x:c r="Q56" s="21" t="str">
        <x:f>IF(A56="","",IF(COUNTIFS(WBS!$A$7:$A$206,C56,WBS!$B$7:$B$206,B56,WBS!$D$7:$D$206,F56)=1,"Matched","Check WBS / unit"))</x:f>
      </x:c>
      <x:c r="R56" s="21" t="str">
        <x:f>IF(A56="","",IF(OR(NOT(ISNUMBER(G56)),G56&lt;0),"Check reported quantity",IF(I56="Accepted",IF(OR(NOT(ISNUMBER(H56)),H56&lt;0,H56&gt;G56),"Check accepted quantity","Recorded"),"Not accepted")))</x:f>
      </x:c>
    </x:row>
    <x:row r="57" ht="60" customHeight="1">
      <x:c r="A57" s="11"/>
      <x:c r="B57" s="11"/>
      <x:c r="C57" s="11"/>
      <x:c r="D57" s="15"/>
      <x:c r="E57" s="11"/>
      <x:c r="F57" s="11"/>
      <x:c r="G57" s="12"/>
      <x:c r="H57" s="12"/>
      <x:c r="I57" s="11"/>
      <x:c r="J57" s="11"/>
      <x:c r="K57" s="11"/>
      <x:c r="L57" s="11"/>
      <x:c r="M57" s="15"/>
      <x:c r="N57" s="14"/>
      <x:c r="O57" s="11"/>
      <x:c r="P57" s="21" t="str">
        <x:f>IF(A57="","",IF(COUNTIFS($A$7:$A$206,A57,$B$7:$B$206,B57)&lt;&gt;1,"Duplicate event ID",IF(I57&lt;&gt;"Accepted","Review pending",IF(OR(J57="",L57="",NOT(ISNUMBER(M57)),M57&lt;=0,NOT(ISNUMBER(D57)),D57&lt;=0),"Missing approval evidence","Recorded - verify authority"))))</x:f>
      </x:c>
      <x:c r="Q57" s="21" t="str">
        <x:f>IF(A57="","",IF(COUNTIFS(WBS!$A$7:$A$206,C57,WBS!$B$7:$B$206,B57,WBS!$D$7:$D$206,F57)=1,"Matched","Check WBS / unit"))</x:f>
      </x:c>
      <x:c r="R57" s="21" t="str">
        <x:f>IF(A57="","",IF(OR(NOT(ISNUMBER(G57)),G57&lt;0),"Check reported quantity",IF(I57="Accepted",IF(OR(NOT(ISNUMBER(H57)),H57&lt;0,H57&gt;G57),"Check accepted quantity","Recorded"),"Not accepted")))</x:f>
      </x:c>
    </x:row>
    <x:row r="58" ht="60" customHeight="1">
      <x:c r="A58" s="11"/>
      <x:c r="B58" s="11"/>
      <x:c r="C58" s="11"/>
      <x:c r="D58" s="15"/>
      <x:c r="E58" s="11"/>
      <x:c r="F58" s="11"/>
      <x:c r="G58" s="12"/>
      <x:c r="H58" s="12"/>
      <x:c r="I58" s="11"/>
      <x:c r="J58" s="11"/>
      <x:c r="K58" s="11"/>
      <x:c r="L58" s="11"/>
      <x:c r="M58" s="15"/>
      <x:c r="N58" s="14"/>
      <x:c r="O58" s="11"/>
      <x:c r="P58" s="21" t="str">
        <x:f>IF(A58="","",IF(COUNTIFS($A$7:$A$206,A58,$B$7:$B$206,B58)&lt;&gt;1,"Duplicate event ID",IF(I58&lt;&gt;"Accepted","Review pending",IF(OR(J58="",L58="",NOT(ISNUMBER(M58)),M58&lt;=0,NOT(ISNUMBER(D58)),D58&lt;=0),"Missing approval evidence","Recorded - verify authority"))))</x:f>
      </x:c>
      <x:c r="Q58" s="21" t="str">
        <x:f>IF(A58="","",IF(COUNTIFS(WBS!$A$7:$A$206,C58,WBS!$B$7:$B$206,B58,WBS!$D$7:$D$206,F58)=1,"Matched","Check WBS / unit"))</x:f>
      </x:c>
      <x:c r="R58" s="21" t="str">
        <x:f>IF(A58="","",IF(OR(NOT(ISNUMBER(G58)),G58&lt;0),"Check reported quantity",IF(I58="Accepted",IF(OR(NOT(ISNUMBER(H58)),H58&lt;0,H58&gt;G58),"Check accepted quantity","Recorded"),"Not accepted")))</x:f>
      </x:c>
    </x:row>
    <x:row r="59" ht="60" customHeight="1">
      <x:c r="A59" s="11"/>
      <x:c r="B59" s="11"/>
      <x:c r="C59" s="11"/>
      <x:c r="D59" s="15"/>
      <x:c r="E59" s="11"/>
      <x:c r="F59" s="11"/>
      <x:c r="G59" s="12"/>
      <x:c r="H59" s="12"/>
      <x:c r="I59" s="11"/>
      <x:c r="J59" s="11"/>
      <x:c r="K59" s="11"/>
      <x:c r="L59" s="11"/>
      <x:c r="M59" s="15"/>
      <x:c r="N59" s="14"/>
      <x:c r="O59" s="11"/>
      <x:c r="P59" s="21" t="str">
        <x:f>IF(A59="","",IF(COUNTIFS($A$7:$A$206,A59,$B$7:$B$206,B59)&lt;&gt;1,"Duplicate event ID",IF(I59&lt;&gt;"Accepted","Review pending",IF(OR(J59="",L59="",NOT(ISNUMBER(M59)),M59&lt;=0,NOT(ISNUMBER(D59)),D59&lt;=0),"Missing approval evidence","Recorded - verify authority"))))</x:f>
      </x:c>
      <x:c r="Q59" s="21" t="str">
        <x:f>IF(A59="","",IF(COUNTIFS(WBS!$A$7:$A$206,C59,WBS!$B$7:$B$206,B59,WBS!$D$7:$D$206,F59)=1,"Matched","Check WBS / unit"))</x:f>
      </x:c>
      <x:c r="R59" s="21" t="str">
        <x:f>IF(A59="","",IF(OR(NOT(ISNUMBER(G59)),G59&lt;0),"Check reported quantity",IF(I59="Accepted",IF(OR(NOT(ISNUMBER(H59)),H59&lt;0,H59&gt;G59),"Check accepted quantity","Recorded"),"Not accepted")))</x:f>
      </x:c>
    </x:row>
    <x:row r="60" ht="60" customHeight="1">
      <x:c r="A60" s="11"/>
      <x:c r="B60" s="11"/>
      <x:c r="C60" s="11"/>
      <x:c r="D60" s="15"/>
      <x:c r="E60" s="11"/>
      <x:c r="F60" s="11"/>
      <x:c r="G60" s="12"/>
      <x:c r="H60" s="12"/>
      <x:c r="I60" s="11"/>
      <x:c r="J60" s="11"/>
      <x:c r="K60" s="11"/>
      <x:c r="L60" s="11"/>
      <x:c r="M60" s="15"/>
      <x:c r="N60" s="14"/>
      <x:c r="O60" s="11"/>
      <x:c r="P60" s="21" t="str">
        <x:f>IF(A60="","",IF(COUNTIFS($A$7:$A$206,A60,$B$7:$B$206,B60)&lt;&gt;1,"Duplicate event ID",IF(I60&lt;&gt;"Accepted","Review pending",IF(OR(J60="",L60="",NOT(ISNUMBER(M60)),M60&lt;=0,NOT(ISNUMBER(D60)),D60&lt;=0),"Missing approval evidence","Recorded - verify authority"))))</x:f>
      </x:c>
      <x:c r="Q60" s="21" t="str">
        <x:f>IF(A60="","",IF(COUNTIFS(WBS!$A$7:$A$206,C60,WBS!$B$7:$B$206,B60,WBS!$D$7:$D$206,F60)=1,"Matched","Check WBS / unit"))</x:f>
      </x:c>
      <x:c r="R60" s="21" t="str">
        <x:f>IF(A60="","",IF(OR(NOT(ISNUMBER(G60)),G60&lt;0),"Check reported quantity",IF(I60="Accepted",IF(OR(NOT(ISNUMBER(H60)),H60&lt;0,H60&gt;G60),"Check accepted quantity","Recorded"),"Not accepted")))</x:f>
      </x:c>
    </x:row>
    <x:row r="61" ht="60" customHeight="1">
      <x:c r="A61" s="11"/>
      <x:c r="B61" s="11"/>
      <x:c r="C61" s="11"/>
      <x:c r="D61" s="15"/>
      <x:c r="E61" s="11"/>
      <x:c r="F61" s="11"/>
      <x:c r="G61" s="12"/>
      <x:c r="H61" s="12"/>
      <x:c r="I61" s="11"/>
      <x:c r="J61" s="11"/>
      <x:c r="K61" s="11"/>
      <x:c r="L61" s="11"/>
      <x:c r="M61" s="15"/>
      <x:c r="N61" s="14"/>
      <x:c r="O61" s="11"/>
      <x:c r="P61" s="21" t="str">
        <x:f>IF(A61="","",IF(COUNTIFS($A$7:$A$206,A61,$B$7:$B$206,B61)&lt;&gt;1,"Duplicate event ID",IF(I61&lt;&gt;"Accepted","Review pending",IF(OR(J61="",L61="",NOT(ISNUMBER(M61)),M61&lt;=0,NOT(ISNUMBER(D61)),D61&lt;=0),"Missing approval evidence","Recorded - verify authority"))))</x:f>
      </x:c>
      <x:c r="Q61" s="21" t="str">
        <x:f>IF(A61="","",IF(COUNTIFS(WBS!$A$7:$A$206,C61,WBS!$B$7:$B$206,B61,WBS!$D$7:$D$206,F61)=1,"Matched","Check WBS / unit"))</x:f>
      </x:c>
      <x:c r="R61" s="21" t="str">
        <x:f>IF(A61="","",IF(OR(NOT(ISNUMBER(G61)),G61&lt;0),"Check reported quantity",IF(I61="Accepted",IF(OR(NOT(ISNUMBER(H61)),H61&lt;0,H61&gt;G61),"Check accepted quantity","Recorded"),"Not accepted")))</x:f>
      </x:c>
    </x:row>
    <x:row r="62" ht="60" customHeight="1">
      <x:c r="A62" s="11"/>
      <x:c r="B62" s="11"/>
      <x:c r="C62" s="11"/>
      <x:c r="D62" s="15"/>
      <x:c r="E62" s="11"/>
      <x:c r="F62" s="11"/>
      <x:c r="G62" s="12"/>
      <x:c r="H62" s="12"/>
      <x:c r="I62" s="11"/>
      <x:c r="J62" s="11"/>
      <x:c r="K62" s="11"/>
      <x:c r="L62" s="11"/>
      <x:c r="M62" s="15"/>
      <x:c r="N62" s="14"/>
      <x:c r="O62" s="11"/>
      <x:c r="P62" s="21" t="str">
        <x:f>IF(A62="","",IF(COUNTIFS($A$7:$A$206,A62,$B$7:$B$206,B62)&lt;&gt;1,"Duplicate event ID",IF(I62&lt;&gt;"Accepted","Review pending",IF(OR(J62="",L62="",NOT(ISNUMBER(M62)),M62&lt;=0,NOT(ISNUMBER(D62)),D62&lt;=0),"Missing approval evidence","Recorded - verify authority"))))</x:f>
      </x:c>
      <x:c r="Q62" s="21" t="str">
        <x:f>IF(A62="","",IF(COUNTIFS(WBS!$A$7:$A$206,C62,WBS!$B$7:$B$206,B62,WBS!$D$7:$D$206,F62)=1,"Matched","Check WBS / unit"))</x:f>
      </x:c>
      <x:c r="R62" s="21" t="str">
        <x:f>IF(A62="","",IF(OR(NOT(ISNUMBER(G62)),G62&lt;0),"Check reported quantity",IF(I62="Accepted",IF(OR(NOT(ISNUMBER(H62)),H62&lt;0,H62&gt;G62),"Check accepted quantity","Recorded"),"Not accepted")))</x:f>
      </x:c>
    </x:row>
    <x:row r="63" ht="60" customHeight="1">
      <x:c r="A63" s="11"/>
      <x:c r="B63" s="11"/>
      <x:c r="C63" s="11"/>
      <x:c r="D63" s="15"/>
      <x:c r="E63" s="11"/>
      <x:c r="F63" s="11"/>
      <x:c r="G63" s="12"/>
      <x:c r="H63" s="12"/>
      <x:c r="I63" s="11"/>
      <x:c r="J63" s="11"/>
      <x:c r="K63" s="11"/>
      <x:c r="L63" s="11"/>
      <x:c r="M63" s="15"/>
      <x:c r="N63" s="14"/>
      <x:c r="O63" s="11"/>
      <x:c r="P63" s="21" t="str">
        <x:f>IF(A63="","",IF(COUNTIFS($A$7:$A$206,A63,$B$7:$B$206,B63)&lt;&gt;1,"Duplicate event ID",IF(I63&lt;&gt;"Accepted","Review pending",IF(OR(J63="",L63="",NOT(ISNUMBER(M63)),M63&lt;=0,NOT(ISNUMBER(D63)),D63&lt;=0),"Missing approval evidence","Recorded - verify authority"))))</x:f>
      </x:c>
      <x:c r="Q63" s="21" t="str">
        <x:f>IF(A63="","",IF(COUNTIFS(WBS!$A$7:$A$206,C63,WBS!$B$7:$B$206,B63,WBS!$D$7:$D$206,F63)=1,"Matched","Check WBS / unit"))</x:f>
      </x:c>
      <x:c r="R63" s="21" t="str">
        <x:f>IF(A63="","",IF(OR(NOT(ISNUMBER(G63)),G63&lt;0),"Check reported quantity",IF(I63="Accepted",IF(OR(NOT(ISNUMBER(H63)),H63&lt;0,H63&gt;G63),"Check accepted quantity","Recorded"),"Not accepted")))</x:f>
      </x:c>
    </x:row>
    <x:row r="64" ht="60" customHeight="1">
      <x:c r="A64" s="11"/>
      <x:c r="B64" s="11"/>
      <x:c r="C64" s="11"/>
      <x:c r="D64" s="15"/>
      <x:c r="E64" s="11"/>
      <x:c r="F64" s="11"/>
      <x:c r="G64" s="12"/>
      <x:c r="H64" s="12"/>
      <x:c r="I64" s="11"/>
      <x:c r="J64" s="11"/>
      <x:c r="K64" s="11"/>
      <x:c r="L64" s="11"/>
      <x:c r="M64" s="15"/>
      <x:c r="N64" s="14"/>
      <x:c r="O64" s="11"/>
      <x:c r="P64" s="21" t="str">
        <x:f>IF(A64="","",IF(COUNTIFS($A$7:$A$206,A64,$B$7:$B$206,B64)&lt;&gt;1,"Duplicate event ID",IF(I64&lt;&gt;"Accepted","Review pending",IF(OR(J64="",L64="",NOT(ISNUMBER(M64)),M64&lt;=0,NOT(ISNUMBER(D64)),D64&lt;=0),"Missing approval evidence","Recorded - verify authority"))))</x:f>
      </x:c>
      <x:c r="Q64" s="21" t="str">
        <x:f>IF(A64="","",IF(COUNTIFS(WBS!$A$7:$A$206,C64,WBS!$B$7:$B$206,B64,WBS!$D$7:$D$206,F64)=1,"Matched","Check WBS / unit"))</x:f>
      </x:c>
      <x:c r="R64" s="21" t="str">
        <x:f>IF(A64="","",IF(OR(NOT(ISNUMBER(G64)),G64&lt;0),"Check reported quantity",IF(I64="Accepted",IF(OR(NOT(ISNUMBER(H64)),H64&lt;0,H64&gt;G64),"Check accepted quantity","Recorded"),"Not accepted")))</x:f>
      </x:c>
    </x:row>
    <x:row r="65" ht="60" customHeight="1">
      <x:c r="A65" s="11"/>
      <x:c r="B65" s="11"/>
      <x:c r="C65" s="11"/>
      <x:c r="D65" s="15"/>
      <x:c r="E65" s="11"/>
      <x:c r="F65" s="11"/>
      <x:c r="G65" s="12"/>
      <x:c r="H65" s="12"/>
      <x:c r="I65" s="11"/>
      <x:c r="J65" s="11"/>
      <x:c r="K65" s="11"/>
      <x:c r="L65" s="11"/>
      <x:c r="M65" s="15"/>
      <x:c r="N65" s="14"/>
      <x:c r="O65" s="11"/>
      <x:c r="P65" s="21" t="str">
        <x:f>IF(A65="","",IF(COUNTIFS($A$7:$A$206,A65,$B$7:$B$206,B65)&lt;&gt;1,"Duplicate event ID",IF(I65&lt;&gt;"Accepted","Review pending",IF(OR(J65="",L65="",NOT(ISNUMBER(M65)),M65&lt;=0,NOT(ISNUMBER(D65)),D65&lt;=0),"Missing approval evidence","Recorded - verify authority"))))</x:f>
      </x:c>
      <x:c r="Q65" s="21" t="str">
        <x:f>IF(A65="","",IF(COUNTIFS(WBS!$A$7:$A$206,C65,WBS!$B$7:$B$206,B65,WBS!$D$7:$D$206,F65)=1,"Matched","Check WBS / unit"))</x:f>
      </x:c>
      <x:c r="R65" s="21" t="str">
        <x:f>IF(A65="","",IF(OR(NOT(ISNUMBER(G65)),G65&lt;0),"Check reported quantity",IF(I65="Accepted",IF(OR(NOT(ISNUMBER(H65)),H65&lt;0,H65&gt;G65),"Check accepted quantity","Recorded"),"Not accepted")))</x:f>
      </x:c>
    </x:row>
    <x:row r="66" ht="60" customHeight="1">
      <x:c r="A66" s="11"/>
      <x:c r="B66" s="11"/>
      <x:c r="C66" s="11"/>
      <x:c r="D66" s="15"/>
      <x:c r="E66" s="11"/>
      <x:c r="F66" s="11"/>
      <x:c r="G66" s="12"/>
      <x:c r="H66" s="12"/>
      <x:c r="I66" s="11"/>
      <x:c r="J66" s="11"/>
      <x:c r="K66" s="11"/>
      <x:c r="L66" s="11"/>
      <x:c r="M66" s="15"/>
      <x:c r="N66" s="14"/>
      <x:c r="O66" s="11"/>
      <x:c r="P66" s="21" t="str">
        <x:f>IF(A66="","",IF(COUNTIFS($A$7:$A$206,A66,$B$7:$B$206,B66)&lt;&gt;1,"Duplicate event ID",IF(I66&lt;&gt;"Accepted","Review pending",IF(OR(J66="",L66="",NOT(ISNUMBER(M66)),M66&lt;=0,NOT(ISNUMBER(D66)),D66&lt;=0),"Missing approval evidence","Recorded - verify authority"))))</x:f>
      </x:c>
      <x:c r="Q66" s="21" t="str">
        <x:f>IF(A66="","",IF(COUNTIFS(WBS!$A$7:$A$206,C66,WBS!$B$7:$B$206,B66,WBS!$D$7:$D$206,F66)=1,"Matched","Check WBS / unit"))</x:f>
      </x:c>
      <x:c r="R66" s="21" t="str">
        <x:f>IF(A66="","",IF(OR(NOT(ISNUMBER(G66)),G66&lt;0),"Check reported quantity",IF(I66="Accepted",IF(OR(NOT(ISNUMBER(H66)),H66&lt;0,H66&gt;G66),"Check accepted quantity","Recorded"),"Not accepted")))</x:f>
      </x:c>
    </x:row>
    <x:row r="67" ht="60" customHeight="1">
      <x:c r="A67" s="11"/>
      <x:c r="B67" s="11"/>
      <x:c r="C67" s="11"/>
      <x:c r="D67" s="15"/>
      <x:c r="E67" s="11"/>
      <x:c r="F67" s="11"/>
      <x:c r="G67" s="12"/>
      <x:c r="H67" s="12"/>
      <x:c r="I67" s="11"/>
      <x:c r="J67" s="11"/>
      <x:c r="K67" s="11"/>
      <x:c r="L67" s="11"/>
      <x:c r="M67" s="15"/>
      <x:c r="N67" s="14"/>
      <x:c r="O67" s="11"/>
      <x:c r="P67" s="21" t="str">
        <x:f>IF(A67="","",IF(COUNTIFS($A$7:$A$206,A67,$B$7:$B$206,B67)&lt;&gt;1,"Duplicate event ID",IF(I67&lt;&gt;"Accepted","Review pending",IF(OR(J67="",L67="",NOT(ISNUMBER(M67)),M67&lt;=0,NOT(ISNUMBER(D67)),D67&lt;=0),"Missing approval evidence","Recorded - verify authority"))))</x:f>
      </x:c>
      <x:c r="Q67" s="21" t="str">
        <x:f>IF(A67="","",IF(COUNTIFS(WBS!$A$7:$A$206,C67,WBS!$B$7:$B$206,B67,WBS!$D$7:$D$206,F67)=1,"Matched","Check WBS / unit"))</x:f>
      </x:c>
      <x:c r="R67" s="21" t="str">
        <x:f>IF(A67="","",IF(OR(NOT(ISNUMBER(G67)),G67&lt;0),"Check reported quantity",IF(I67="Accepted",IF(OR(NOT(ISNUMBER(H67)),H67&lt;0,H67&gt;G67),"Check accepted quantity","Recorded"),"Not accepted")))</x:f>
      </x:c>
    </x:row>
    <x:row r="68" ht="60" customHeight="1">
      <x:c r="A68" s="11"/>
      <x:c r="B68" s="11"/>
      <x:c r="C68" s="11"/>
      <x:c r="D68" s="15"/>
      <x:c r="E68" s="11"/>
      <x:c r="F68" s="11"/>
      <x:c r="G68" s="12"/>
      <x:c r="H68" s="12"/>
      <x:c r="I68" s="11"/>
      <x:c r="J68" s="11"/>
      <x:c r="K68" s="11"/>
      <x:c r="L68" s="11"/>
      <x:c r="M68" s="15"/>
      <x:c r="N68" s="14"/>
      <x:c r="O68" s="11"/>
      <x:c r="P68" s="21" t="str">
        <x:f>IF(A68="","",IF(COUNTIFS($A$7:$A$206,A68,$B$7:$B$206,B68)&lt;&gt;1,"Duplicate event ID",IF(I68&lt;&gt;"Accepted","Review pending",IF(OR(J68="",L68="",NOT(ISNUMBER(M68)),M68&lt;=0,NOT(ISNUMBER(D68)),D68&lt;=0),"Missing approval evidence","Recorded - verify authority"))))</x:f>
      </x:c>
      <x:c r="Q68" s="21" t="str">
        <x:f>IF(A68="","",IF(COUNTIFS(WBS!$A$7:$A$206,C68,WBS!$B$7:$B$206,B68,WBS!$D$7:$D$206,F68)=1,"Matched","Check WBS / unit"))</x:f>
      </x:c>
      <x:c r="R68" s="21" t="str">
        <x:f>IF(A68="","",IF(OR(NOT(ISNUMBER(G68)),G68&lt;0),"Check reported quantity",IF(I68="Accepted",IF(OR(NOT(ISNUMBER(H68)),H68&lt;0,H68&gt;G68),"Check accepted quantity","Recorded"),"Not accepted")))</x:f>
      </x:c>
    </x:row>
    <x:row r="69" ht="60" customHeight="1">
      <x:c r="A69" s="11"/>
      <x:c r="B69" s="11"/>
      <x:c r="C69" s="11"/>
      <x:c r="D69" s="15"/>
      <x:c r="E69" s="11"/>
      <x:c r="F69" s="11"/>
      <x:c r="G69" s="12"/>
      <x:c r="H69" s="12"/>
      <x:c r="I69" s="11"/>
      <x:c r="J69" s="11"/>
      <x:c r="K69" s="11"/>
      <x:c r="L69" s="11"/>
      <x:c r="M69" s="15"/>
      <x:c r="N69" s="14"/>
      <x:c r="O69" s="11"/>
      <x:c r="P69" s="21" t="str">
        <x:f>IF(A69="","",IF(COUNTIFS($A$7:$A$206,A69,$B$7:$B$206,B69)&lt;&gt;1,"Duplicate event ID",IF(I69&lt;&gt;"Accepted","Review pending",IF(OR(J69="",L69="",NOT(ISNUMBER(M69)),M69&lt;=0,NOT(ISNUMBER(D69)),D69&lt;=0),"Missing approval evidence","Recorded - verify authority"))))</x:f>
      </x:c>
      <x:c r="Q69" s="21" t="str">
        <x:f>IF(A69="","",IF(COUNTIFS(WBS!$A$7:$A$206,C69,WBS!$B$7:$B$206,B69,WBS!$D$7:$D$206,F69)=1,"Matched","Check WBS / unit"))</x:f>
      </x:c>
      <x:c r="R69" s="21" t="str">
        <x:f>IF(A69="","",IF(OR(NOT(ISNUMBER(G69)),G69&lt;0),"Check reported quantity",IF(I69="Accepted",IF(OR(NOT(ISNUMBER(H69)),H69&lt;0,H69&gt;G69),"Check accepted quantity","Recorded"),"Not accepted")))</x:f>
      </x:c>
    </x:row>
    <x:row r="70" ht="60" customHeight="1">
      <x:c r="A70" s="11"/>
      <x:c r="B70" s="11"/>
      <x:c r="C70" s="11"/>
      <x:c r="D70" s="15"/>
      <x:c r="E70" s="11"/>
      <x:c r="F70" s="11"/>
      <x:c r="G70" s="12"/>
      <x:c r="H70" s="12"/>
      <x:c r="I70" s="11"/>
      <x:c r="J70" s="11"/>
      <x:c r="K70" s="11"/>
      <x:c r="L70" s="11"/>
      <x:c r="M70" s="15"/>
      <x:c r="N70" s="14"/>
      <x:c r="O70" s="11"/>
      <x:c r="P70" s="21" t="str">
        <x:f>IF(A70="","",IF(COUNTIFS($A$7:$A$206,A70,$B$7:$B$206,B70)&lt;&gt;1,"Duplicate event ID",IF(I70&lt;&gt;"Accepted","Review pending",IF(OR(J70="",L70="",NOT(ISNUMBER(M70)),M70&lt;=0,NOT(ISNUMBER(D70)),D70&lt;=0),"Missing approval evidence","Recorded - verify authority"))))</x:f>
      </x:c>
      <x:c r="Q70" s="21" t="str">
        <x:f>IF(A70="","",IF(COUNTIFS(WBS!$A$7:$A$206,C70,WBS!$B$7:$B$206,B70,WBS!$D$7:$D$206,F70)=1,"Matched","Check WBS / unit"))</x:f>
      </x:c>
      <x:c r="R70" s="21" t="str">
        <x:f>IF(A70="","",IF(OR(NOT(ISNUMBER(G70)),G70&lt;0),"Check reported quantity",IF(I70="Accepted",IF(OR(NOT(ISNUMBER(H70)),H70&lt;0,H70&gt;G70),"Check accepted quantity","Recorded"),"Not accepted")))</x:f>
      </x:c>
    </x:row>
    <x:row r="71" ht="60" customHeight="1">
      <x:c r="A71" s="11"/>
      <x:c r="B71" s="11"/>
      <x:c r="C71" s="11"/>
      <x:c r="D71" s="15"/>
      <x:c r="E71" s="11"/>
      <x:c r="F71" s="11"/>
      <x:c r="G71" s="12"/>
      <x:c r="H71" s="12"/>
      <x:c r="I71" s="11"/>
      <x:c r="J71" s="11"/>
      <x:c r="K71" s="11"/>
      <x:c r="L71" s="11"/>
      <x:c r="M71" s="15"/>
      <x:c r="N71" s="14"/>
      <x:c r="O71" s="11"/>
      <x:c r="P71" s="21" t="str">
        <x:f>IF(A71="","",IF(COUNTIFS($A$7:$A$206,A71,$B$7:$B$206,B71)&lt;&gt;1,"Duplicate event ID",IF(I71&lt;&gt;"Accepted","Review pending",IF(OR(J71="",L71="",NOT(ISNUMBER(M71)),M71&lt;=0,NOT(ISNUMBER(D71)),D71&lt;=0),"Missing approval evidence","Recorded - verify authority"))))</x:f>
      </x:c>
      <x:c r="Q71" s="21" t="str">
        <x:f>IF(A71="","",IF(COUNTIFS(WBS!$A$7:$A$206,C71,WBS!$B$7:$B$206,B71,WBS!$D$7:$D$206,F71)=1,"Matched","Check WBS / unit"))</x:f>
      </x:c>
      <x:c r="R71" s="21" t="str">
        <x:f>IF(A71="","",IF(OR(NOT(ISNUMBER(G71)),G71&lt;0),"Check reported quantity",IF(I71="Accepted",IF(OR(NOT(ISNUMBER(H71)),H71&lt;0,H71&gt;G71),"Check accepted quantity","Recorded"),"Not accepted")))</x:f>
      </x:c>
    </x:row>
    <x:row r="72" ht="60" customHeight="1">
      <x:c r="A72" s="11"/>
      <x:c r="B72" s="11"/>
      <x:c r="C72" s="11"/>
      <x:c r="D72" s="15"/>
      <x:c r="E72" s="11"/>
      <x:c r="F72" s="11"/>
      <x:c r="G72" s="12"/>
      <x:c r="H72" s="12"/>
      <x:c r="I72" s="11"/>
      <x:c r="J72" s="11"/>
      <x:c r="K72" s="11"/>
      <x:c r="L72" s="11"/>
      <x:c r="M72" s="15"/>
      <x:c r="N72" s="14"/>
      <x:c r="O72" s="11"/>
      <x:c r="P72" s="21" t="str">
        <x:f>IF(A72="","",IF(COUNTIFS($A$7:$A$206,A72,$B$7:$B$206,B72)&lt;&gt;1,"Duplicate event ID",IF(I72&lt;&gt;"Accepted","Review pending",IF(OR(J72="",L72="",NOT(ISNUMBER(M72)),M72&lt;=0,NOT(ISNUMBER(D72)),D72&lt;=0),"Missing approval evidence","Recorded - verify authority"))))</x:f>
      </x:c>
      <x:c r="Q72" s="21" t="str">
        <x:f>IF(A72="","",IF(COUNTIFS(WBS!$A$7:$A$206,C72,WBS!$B$7:$B$206,B72,WBS!$D$7:$D$206,F72)=1,"Matched","Check WBS / unit"))</x:f>
      </x:c>
      <x:c r="R72" s="21" t="str">
        <x:f>IF(A72="","",IF(OR(NOT(ISNUMBER(G72)),G72&lt;0),"Check reported quantity",IF(I72="Accepted",IF(OR(NOT(ISNUMBER(H72)),H72&lt;0,H72&gt;G72),"Check accepted quantity","Recorded"),"Not accepted")))</x:f>
      </x:c>
    </x:row>
    <x:row r="73" ht="60" customHeight="1">
      <x:c r="A73" s="11"/>
      <x:c r="B73" s="11"/>
      <x:c r="C73" s="11"/>
      <x:c r="D73" s="15"/>
      <x:c r="E73" s="11"/>
      <x:c r="F73" s="11"/>
      <x:c r="G73" s="12"/>
      <x:c r="H73" s="12"/>
      <x:c r="I73" s="11"/>
      <x:c r="J73" s="11"/>
      <x:c r="K73" s="11"/>
      <x:c r="L73" s="11"/>
      <x:c r="M73" s="15"/>
      <x:c r="N73" s="14"/>
      <x:c r="O73" s="11"/>
      <x:c r="P73" s="21" t="str">
        <x:f>IF(A73="","",IF(COUNTIFS($A$7:$A$206,A73,$B$7:$B$206,B73)&lt;&gt;1,"Duplicate event ID",IF(I73&lt;&gt;"Accepted","Review pending",IF(OR(J73="",L73="",NOT(ISNUMBER(M73)),M73&lt;=0,NOT(ISNUMBER(D73)),D73&lt;=0),"Missing approval evidence","Recorded - verify authority"))))</x:f>
      </x:c>
      <x:c r="Q73" s="21" t="str">
        <x:f>IF(A73="","",IF(COUNTIFS(WBS!$A$7:$A$206,C73,WBS!$B$7:$B$206,B73,WBS!$D$7:$D$206,F73)=1,"Matched","Check WBS / unit"))</x:f>
      </x:c>
      <x:c r="R73" s="21" t="str">
        <x:f>IF(A73="","",IF(OR(NOT(ISNUMBER(G73)),G73&lt;0),"Check reported quantity",IF(I73="Accepted",IF(OR(NOT(ISNUMBER(H73)),H73&lt;0,H73&gt;G73),"Check accepted quantity","Recorded"),"Not accepted")))</x:f>
      </x:c>
    </x:row>
    <x:row r="74" ht="60" customHeight="1">
      <x:c r="A74" s="11"/>
      <x:c r="B74" s="11"/>
      <x:c r="C74" s="11"/>
      <x:c r="D74" s="15"/>
      <x:c r="E74" s="11"/>
      <x:c r="F74" s="11"/>
      <x:c r="G74" s="12"/>
      <x:c r="H74" s="12"/>
      <x:c r="I74" s="11"/>
      <x:c r="J74" s="11"/>
      <x:c r="K74" s="11"/>
      <x:c r="L74" s="11"/>
      <x:c r="M74" s="15"/>
      <x:c r="N74" s="14"/>
      <x:c r="O74" s="11"/>
      <x:c r="P74" s="21" t="str">
        <x:f>IF(A74="","",IF(COUNTIFS($A$7:$A$206,A74,$B$7:$B$206,B74)&lt;&gt;1,"Duplicate event ID",IF(I74&lt;&gt;"Accepted","Review pending",IF(OR(J74="",L74="",NOT(ISNUMBER(M74)),M74&lt;=0,NOT(ISNUMBER(D74)),D74&lt;=0),"Missing approval evidence","Recorded - verify authority"))))</x:f>
      </x:c>
      <x:c r="Q74" s="21" t="str">
        <x:f>IF(A74="","",IF(COUNTIFS(WBS!$A$7:$A$206,C74,WBS!$B$7:$B$206,B74,WBS!$D$7:$D$206,F74)=1,"Matched","Check WBS / unit"))</x:f>
      </x:c>
      <x:c r="R74" s="21" t="str">
        <x:f>IF(A74="","",IF(OR(NOT(ISNUMBER(G74)),G74&lt;0),"Check reported quantity",IF(I74="Accepted",IF(OR(NOT(ISNUMBER(H74)),H74&lt;0,H74&gt;G74),"Check accepted quantity","Recorded"),"Not accepted")))</x:f>
      </x:c>
    </x:row>
    <x:row r="75" ht="60" customHeight="1">
      <x:c r="A75" s="11"/>
      <x:c r="B75" s="11"/>
      <x:c r="C75" s="11"/>
      <x:c r="D75" s="15"/>
      <x:c r="E75" s="11"/>
      <x:c r="F75" s="11"/>
      <x:c r="G75" s="12"/>
      <x:c r="H75" s="12"/>
      <x:c r="I75" s="11"/>
      <x:c r="J75" s="11"/>
      <x:c r="K75" s="11"/>
      <x:c r="L75" s="11"/>
      <x:c r="M75" s="15"/>
      <x:c r="N75" s="14"/>
      <x:c r="O75" s="11"/>
      <x:c r="P75" s="21" t="str">
        <x:f>IF(A75="","",IF(COUNTIFS($A$7:$A$206,A75,$B$7:$B$206,B75)&lt;&gt;1,"Duplicate event ID",IF(I75&lt;&gt;"Accepted","Review pending",IF(OR(J75="",L75="",NOT(ISNUMBER(M75)),M75&lt;=0,NOT(ISNUMBER(D75)),D75&lt;=0),"Missing approval evidence","Recorded - verify authority"))))</x:f>
      </x:c>
      <x:c r="Q75" s="21" t="str">
        <x:f>IF(A75="","",IF(COUNTIFS(WBS!$A$7:$A$206,C75,WBS!$B$7:$B$206,B75,WBS!$D$7:$D$206,F75)=1,"Matched","Check WBS / unit"))</x:f>
      </x:c>
      <x:c r="R75" s="21" t="str">
        <x:f>IF(A75="","",IF(OR(NOT(ISNUMBER(G75)),G75&lt;0),"Check reported quantity",IF(I75="Accepted",IF(OR(NOT(ISNUMBER(H75)),H75&lt;0,H75&gt;G75),"Check accepted quantity","Recorded"),"Not accepted")))</x:f>
      </x:c>
    </x:row>
    <x:row r="76" ht="60" customHeight="1">
      <x:c r="A76" s="11"/>
      <x:c r="B76" s="11"/>
      <x:c r="C76" s="11"/>
      <x:c r="D76" s="15"/>
      <x:c r="E76" s="11"/>
      <x:c r="F76" s="11"/>
      <x:c r="G76" s="12"/>
      <x:c r="H76" s="12"/>
      <x:c r="I76" s="11"/>
      <x:c r="J76" s="11"/>
      <x:c r="K76" s="11"/>
      <x:c r="L76" s="11"/>
      <x:c r="M76" s="15"/>
      <x:c r="N76" s="14"/>
      <x:c r="O76" s="11"/>
      <x:c r="P76" s="21" t="str">
        <x:f>IF(A76="","",IF(COUNTIFS($A$7:$A$206,A76,$B$7:$B$206,B76)&lt;&gt;1,"Duplicate event ID",IF(I76&lt;&gt;"Accepted","Review pending",IF(OR(J76="",L76="",NOT(ISNUMBER(M76)),M76&lt;=0,NOT(ISNUMBER(D76)),D76&lt;=0),"Missing approval evidence","Recorded - verify authority"))))</x:f>
      </x:c>
      <x:c r="Q76" s="21" t="str">
        <x:f>IF(A76="","",IF(COUNTIFS(WBS!$A$7:$A$206,C76,WBS!$B$7:$B$206,B76,WBS!$D$7:$D$206,F76)=1,"Matched","Check WBS / unit"))</x:f>
      </x:c>
      <x:c r="R76" s="21" t="str">
        <x:f>IF(A76="","",IF(OR(NOT(ISNUMBER(G76)),G76&lt;0),"Check reported quantity",IF(I76="Accepted",IF(OR(NOT(ISNUMBER(H76)),H76&lt;0,H76&gt;G76),"Check accepted quantity","Recorded"),"Not accepted")))</x:f>
      </x:c>
    </x:row>
    <x:row r="77" ht="60" customHeight="1">
      <x:c r="A77" s="11"/>
      <x:c r="B77" s="11"/>
      <x:c r="C77" s="11"/>
      <x:c r="D77" s="15"/>
      <x:c r="E77" s="11"/>
      <x:c r="F77" s="11"/>
      <x:c r="G77" s="12"/>
      <x:c r="H77" s="12"/>
      <x:c r="I77" s="11"/>
      <x:c r="J77" s="11"/>
      <x:c r="K77" s="11"/>
      <x:c r="L77" s="11"/>
      <x:c r="M77" s="15"/>
      <x:c r="N77" s="14"/>
      <x:c r="O77" s="11"/>
      <x:c r="P77" s="21" t="str">
        <x:f>IF(A77="","",IF(COUNTIFS($A$7:$A$206,A77,$B$7:$B$206,B77)&lt;&gt;1,"Duplicate event ID",IF(I77&lt;&gt;"Accepted","Review pending",IF(OR(J77="",L77="",NOT(ISNUMBER(M77)),M77&lt;=0,NOT(ISNUMBER(D77)),D77&lt;=0),"Missing approval evidence","Recorded - verify authority"))))</x:f>
      </x:c>
      <x:c r="Q77" s="21" t="str">
        <x:f>IF(A77="","",IF(COUNTIFS(WBS!$A$7:$A$206,C77,WBS!$B$7:$B$206,B77,WBS!$D$7:$D$206,F77)=1,"Matched","Check WBS / unit"))</x:f>
      </x:c>
      <x:c r="R77" s="21" t="str">
        <x:f>IF(A77="","",IF(OR(NOT(ISNUMBER(G77)),G77&lt;0),"Check reported quantity",IF(I77="Accepted",IF(OR(NOT(ISNUMBER(H77)),H77&lt;0,H77&gt;G77),"Check accepted quantity","Recorded"),"Not accepted")))</x:f>
      </x:c>
    </x:row>
    <x:row r="78" ht="60" customHeight="1">
      <x:c r="A78" s="11"/>
      <x:c r="B78" s="11"/>
      <x:c r="C78" s="11"/>
      <x:c r="D78" s="15"/>
      <x:c r="E78" s="11"/>
      <x:c r="F78" s="11"/>
      <x:c r="G78" s="12"/>
      <x:c r="H78" s="12"/>
      <x:c r="I78" s="11"/>
      <x:c r="J78" s="11"/>
      <x:c r="K78" s="11"/>
      <x:c r="L78" s="11"/>
      <x:c r="M78" s="15"/>
      <x:c r="N78" s="14"/>
      <x:c r="O78" s="11"/>
      <x:c r="P78" s="21" t="str">
        <x:f>IF(A78="","",IF(COUNTIFS($A$7:$A$206,A78,$B$7:$B$206,B78)&lt;&gt;1,"Duplicate event ID",IF(I78&lt;&gt;"Accepted","Review pending",IF(OR(J78="",L78="",NOT(ISNUMBER(M78)),M78&lt;=0,NOT(ISNUMBER(D78)),D78&lt;=0),"Missing approval evidence","Recorded - verify authority"))))</x:f>
      </x:c>
      <x:c r="Q78" s="21" t="str">
        <x:f>IF(A78="","",IF(COUNTIFS(WBS!$A$7:$A$206,C78,WBS!$B$7:$B$206,B78,WBS!$D$7:$D$206,F78)=1,"Matched","Check WBS / unit"))</x:f>
      </x:c>
      <x:c r="R78" s="21" t="str">
        <x:f>IF(A78="","",IF(OR(NOT(ISNUMBER(G78)),G78&lt;0),"Check reported quantity",IF(I78="Accepted",IF(OR(NOT(ISNUMBER(H78)),H78&lt;0,H78&gt;G78),"Check accepted quantity","Recorded"),"Not accepted")))</x:f>
      </x:c>
    </x:row>
    <x:row r="79" ht="60" customHeight="1">
      <x:c r="A79" s="11"/>
      <x:c r="B79" s="11"/>
      <x:c r="C79" s="11"/>
      <x:c r="D79" s="15"/>
      <x:c r="E79" s="11"/>
      <x:c r="F79" s="11"/>
      <x:c r="G79" s="12"/>
      <x:c r="H79" s="12"/>
      <x:c r="I79" s="11"/>
      <x:c r="J79" s="11"/>
      <x:c r="K79" s="11"/>
      <x:c r="L79" s="11"/>
      <x:c r="M79" s="15"/>
      <x:c r="N79" s="14"/>
      <x:c r="O79" s="11"/>
      <x:c r="P79" s="21" t="str">
        <x:f>IF(A79="","",IF(COUNTIFS($A$7:$A$206,A79,$B$7:$B$206,B79)&lt;&gt;1,"Duplicate event ID",IF(I79&lt;&gt;"Accepted","Review pending",IF(OR(J79="",L79="",NOT(ISNUMBER(M79)),M79&lt;=0,NOT(ISNUMBER(D79)),D79&lt;=0),"Missing approval evidence","Recorded - verify authority"))))</x:f>
      </x:c>
      <x:c r="Q79" s="21" t="str">
        <x:f>IF(A79="","",IF(COUNTIFS(WBS!$A$7:$A$206,C79,WBS!$B$7:$B$206,B79,WBS!$D$7:$D$206,F79)=1,"Matched","Check WBS / unit"))</x:f>
      </x:c>
      <x:c r="R79" s="21" t="str">
        <x:f>IF(A79="","",IF(OR(NOT(ISNUMBER(G79)),G79&lt;0),"Check reported quantity",IF(I79="Accepted",IF(OR(NOT(ISNUMBER(H79)),H79&lt;0,H79&gt;G79),"Check accepted quantity","Recorded"),"Not accepted")))</x:f>
      </x:c>
    </x:row>
    <x:row r="80" ht="60" customHeight="1">
      <x:c r="A80" s="11"/>
      <x:c r="B80" s="11"/>
      <x:c r="C80" s="11"/>
      <x:c r="D80" s="15"/>
      <x:c r="E80" s="11"/>
      <x:c r="F80" s="11"/>
      <x:c r="G80" s="12"/>
      <x:c r="H80" s="12"/>
      <x:c r="I80" s="11"/>
      <x:c r="J80" s="11"/>
      <x:c r="K80" s="11"/>
      <x:c r="L80" s="11"/>
      <x:c r="M80" s="15"/>
      <x:c r="N80" s="14"/>
      <x:c r="O80" s="11"/>
      <x:c r="P80" s="21" t="str">
        <x:f>IF(A80="","",IF(COUNTIFS($A$7:$A$206,A80,$B$7:$B$206,B80)&lt;&gt;1,"Duplicate event ID",IF(I80&lt;&gt;"Accepted","Review pending",IF(OR(J80="",L80="",NOT(ISNUMBER(M80)),M80&lt;=0,NOT(ISNUMBER(D80)),D80&lt;=0),"Missing approval evidence","Recorded - verify authority"))))</x:f>
      </x:c>
      <x:c r="Q80" s="21" t="str">
        <x:f>IF(A80="","",IF(COUNTIFS(WBS!$A$7:$A$206,C80,WBS!$B$7:$B$206,B80,WBS!$D$7:$D$206,F80)=1,"Matched","Check WBS / unit"))</x:f>
      </x:c>
      <x:c r="R80" s="21" t="str">
        <x:f>IF(A80="","",IF(OR(NOT(ISNUMBER(G80)),G80&lt;0),"Check reported quantity",IF(I80="Accepted",IF(OR(NOT(ISNUMBER(H80)),H80&lt;0,H80&gt;G80),"Check accepted quantity","Recorded"),"Not accepted")))</x:f>
      </x:c>
    </x:row>
    <x:row r="81" ht="60" customHeight="1">
      <x:c r="A81" s="11"/>
      <x:c r="B81" s="11"/>
      <x:c r="C81" s="11"/>
      <x:c r="D81" s="15"/>
      <x:c r="E81" s="11"/>
      <x:c r="F81" s="11"/>
      <x:c r="G81" s="12"/>
      <x:c r="H81" s="12"/>
      <x:c r="I81" s="11"/>
      <x:c r="J81" s="11"/>
      <x:c r="K81" s="11"/>
      <x:c r="L81" s="11"/>
      <x:c r="M81" s="15"/>
      <x:c r="N81" s="14"/>
      <x:c r="O81" s="11"/>
      <x:c r="P81" s="21" t="str">
        <x:f>IF(A81="","",IF(COUNTIFS($A$7:$A$206,A81,$B$7:$B$206,B81)&lt;&gt;1,"Duplicate event ID",IF(I81&lt;&gt;"Accepted","Review pending",IF(OR(J81="",L81="",NOT(ISNUMBER(M81)),M81&lt;=0,NOT(ISNUMBER(D81)),D81&lt;=0),"Missing approval evidence","Recorded - verify authority"))))</x:f>
      </x:c>
      <x:c r="Q81" s="21" t="str">
        <x:f>IF(A81="","",IF(COUNTIFS(WBS!$A$7:$A$206,C81,WBS!$B$7:$B$206,B81,WBS!$D$7:$D$206,F81)=1,"Matched","Check WBS / unit"))</x:f>
      </x:c>
      <x:c r="R81" s="21" t="str">
        <x:f>IF(A81="","",IF(OR(NOT(ISNUMBER(G81)),G81&lt;0),"Check reported quantity",IF(I81="Accepted",IF(OR(NOT(ISNUMBER(H81)),H81&lt;0,H81&gt;G81),"Check accepted quantity","Recorded"),"Not accepted")))</x:f>
      </x:c>
    </x:row>
    <x:row r="82" ht="60" customHeight="1">
      <x:c r="A82" s="11"/>
      <x:c r="B82" s="11"/>
      <x:c r="C82" s="11"/>
      <x:c r="D82" s="15"/>
      <x:c r="E82" s="11"/>
      <x:c r="F82" s="11"/>
      <x:c r="G82" s="12"/>
      <x:c r="H82" s="12"/>
      <x:c r="I82" s="11"/>
      <x:c r="J82" s="11"/>
      <x:c r="K82" s="11"/>
      <x:c r="L82" s="11"/>
      <x:c r="M82" s="15"/>
      <x:c r="N82" s="14"/>
      <x:c r="O82" s="11"/>
      <x:c r="P82" s="21" t="str">
        <x:f>IF(A82="","",IF(COUNTIFS($A$7:$A$206,A82,$B$7:$B$206,B82)&lt;&gt;1,"Duplicate event ID",IF(I82&lt;&gt;"Accepted","Review pending",IF(OR(J82="",L82="",NOT(ISNUMBER(M82)),M82&lt;=0,NOT(ISNUMBER(D82)),D82&lt;=0),"Missing approval evidence","Recorded - verify authority"))))</x:f>
      </x:c>
      <x:c r="Q82" s="21" t="str">
        <x:f>IF(A82="","",IF(COUNTIFS(WBS!$A$7:$A$206,C82,WBS!$B$7:$B$206,B82,WBS!$D$7:$D$206,F82)=1,"Matched","Check WBS / unit"))</x:f>
      </x:c>
      <x:c r="R82" s="21" t="str">
        <x:f>IF(A82="","",IF(OR(NOT(ISNUMBER(G82)),G82&lt;0),"Check reported quantity",IF(I82="Accepted",IF(OR(NOT(ISNUMBER(H82)),H82&lt;0,H82&gt;G82),"Check accepted quantity","Recorded"),"Not accepted")))</x:f>
      </x:c>
    </x:row>
    <x:row r="83" ht="60" customHeight="1">
      <x:c r="A83" s="11"/>
      <x:c r="B83" s="11"/>
      <x:c r="C83" s="11"/>
      <x:c r="D83" s="15"/>
      <x:c r="E83" s="11"/>
      <x:c r="F83" s="11"/>
      <x:c r="G83" s="12"/>
      <x:c r="H83" s="12"/>
      <x:c r="I83" s="11"/>
      <x:c r="J83" s="11"/>
      <x:c r="K83" s="11"/>
      <x:c r="L83" s="11"/>
      <x:c r="M83" s="15"/>
      <x:c r="N83" s="14"/>
      <x:c r="O83" s="11"/>
      <x:c r="P83" s="21" t="str">
        <x:f>IF(A83="","",IF(COUNTIFS($A$7:$A$206,A83,$B$7:$B$206,B83)&lt;&gt;1,"Duplicate event ID",IF(I83&lt;&gt;"Accepted","Review pending",IF(OR(J83="",L83="",NOT(ISNUMBER(M83)),M83&lt;=0,NOT(ISNUMBER(D83)),D83&lt;=0),"Missing approval evidence","Recorded - verify authority"))))</x:f>
      </x:c>
      <x:c r="Q83" s="21" t="str">
        <x:f>IF(A83="","",IF(COUNTIFS(WBS!$A$7:$A$206,C83,WBS!$B$7:$B$206,B83,WBS!$D$7:$D$206,F83)=1,"Matched","Check WBS / unit"))</x:f>
      </x:c>
      <x:c r="R83" s="21" t="str">
        <x:f>IF(A83="","",IF(OR(NOT(ISNUMBER(G83)),G83&lt;0),"Check reported quantity",IF(I83="Accepted",IF(OR(NOT(ISNUMBER(H83)),H83&lt;0,H83&gt;G83),"Check accepted quantity","Recorded"),"Not accepted")))</x:f>
      </x:c>
    </x:row>
    <x:row r="84" ht="60" customHeight="1">
      <x:c r="A84" s="11"/>
      <x:c r="B84" s="11"/>
      <x:c r="C84" s="11"/>
      <x:c r="D84" s="15"/>
      <x:c r="E84" s="11"/>
      <x:c r="F84" s="11"/>
      <x:c r="G84" s="12"/>
      <x:c r="H84" s="12"/>
      <x:c r="I84" s="11"/>
      <x:c r="J84" s="11"/>
      <x:c r="K84" s="11"/>
      <x:c r="L84" s="11"/>
      <x:c r="M84" s="15"/>
      <x:c r="N84" s="14"/>
      <x:c r="O84" s="11"/>
      <x:c r="P84" s="21" t="str">
        <x:f>IF(A84="","",IF(COUNTIFS($A$7:$A$206,A84,$B$7:$B$206,B84)&lt;&gt;1,"Duplicate event ID",IF(I84&lt;&gt;"Accepted","Review pending",IF(OR(J84="",L84="",NOT(ISNUMBER(M84)),M84&lt;=0,NOT(ISNUMBER(D84)),D84&lt;=0),"Missing approval evidence","Recorded - verify authority"))))</x:f>
      </x:c>
      <x:c r="Q84" s="21" t="str">
        <x:f>IF(A84="","",IF(COUNTIFS(WBS!$A$7:$A$206,C84,WBS!$B$7:$B$206,B84,WBS!$D$7:$D$206,F84)=1,"Matched","Check WBS / unit"))</x:f>
      </x:c>
      <x:c r="R84" s="21" t="str">
        <x:f>IF(A84="","",IF(OR(NOT(ISNUMBER(G84)),G84&lt;0),"Check reported quantity",IF(I84="Accepted",IF(OR(NOT(ISNUMBER(H84)),H84&lt;0,H84&gt;G84),"Check accepted quantity","Recorded"),"Not accepted")))</x:f>
      </x:c>
    </x:row>
    <x:row r="85" ht="60" customHeight="1">
      <x:c r="A85" s="11"/>
      <x:c r="B85" s="11"/>
      <x:c r="C85" s="11"/>
      <x:c r="D85" s="15"/>
      <x:c r="E85" s="11"/>
      <x:c r="F85" s="11"/>
      <x:c r="G85" s="12"/>
      <x:c r="H85" s="12"/>
      <x:c r="I85" s="11"/>
      <x:c r="J85" s="11"/>
      <x:c r="K85" s="11"/>
      <x:c r="L85" s="11"/>
      <x:c r="M85" s="15"/>
      <x:c r="N85" s="14"/>
      <x:c r="O85" s="11"/>
      <x:c r="P85" s="21" t="str">
        <x:f>IF(A85="","",IF(COUNTIFS($A$7:$A$206,A85,$B$7:$B$206,B85)&lt;&gt;1,"Duplicate event ID",IF(I85&lt;&gt;"Accepted","Review pending",IF(OR(J85="",L85="",NOT(ISNUMBER(M85)),M85&lt;=0,NOT(ISNUMBER(D85)),D85&lt;=0),"Missing approval evidence","Recorded - verify authority"))))</x:f>
      </x:c>
      <x:c r="Q85" s="21" t="str">
        <x:f>IF(A85="","",IF(COUNTIFS(WBS!$A$7:$A$206,C85,WBS!$B$7:$B$206,B85,WBS!$D$7:$D$206,F85)=1,"Matched","Check WBS / unit"))</x:f>
      </x:c>
      <x:c r="R85" s="21" t="str">
        <x:f>IF(A85="","",IF(OR(NOT(ISNUMBER(G85)),G85&lt;0),"Check reported quantity",IF(I85="Accepted",IF(OR(NOT(ISNUMBER(H85)),H85&lt;0,H85&gt;G85),"Check accepted quantity","Recorded"),"Not accepted")))</x:f>
      </x:c>
    </x:row>
    <x:row r="86" ht="60" customHeight="1">
      <x:c r="A86" s="11"/>
      <x:c r="B86" s="11"/>
      <x:c r="C86" s="11"/>
      <x:c r="D86" s="15"/>
      <x:c r="E86" s="11"/>
      <x:c r="F86" s="11"/>
      <x:c r="G86" s="12"/>
      <x:c r="H86" s="12"/>
      <x:c r="I86" s="11"/>
      <x:c r="J86" s="11"/>
      <x:c r="K86" s="11"/>
      <x:c r="L86" s="11"/>
      <x:c r="M86" s="15"/>
      <x:c r="N86" s="14"/>
      <x:c r="O86" s="11"/>
      <x:c r="P86" s="21" t="str">
        <x:f>IF(A86="","",IF(COUNTIFS($A$7:$A$206,A86,$B$7:$B$206,B86)&lt;&gt;1,"Duplicate event ID",IF(I86&lt;&gt;"Accepted","Review pending",IF(OR(J86="",L86="",NOT(ISNUMBER(M86)),M86&lt;=0,NOT(ISNUMBER(D86)),D86&lt;=0),"Missing approval evidence","Recorded - verify authority"))))</x:f>
      </x:c>
      <x:c r="Q86" s="21" t="str">
        <x:f>IF(A86="","",IF(COUNTIFS(WBS!$A$7:$A$206,C86,WBS!$B$7:$B$206,B86,WBS!$D$7:$D$206,F86)=1,"Matched","Check WBS / unit"))</x:f>
      </x:c>
      <x:c r="R86" s="21" t="str">
        <x:f>IF(A86="","",IF(OR(NOT(ISNUMBER(G86)),G86&lt;0),"Check reported quantity",IF(I86="Accepted",IF(OR(NOT(ISNUMBER(H86)),H86&lt;0,H86&gt;G86),"Check accepted quantity","Recorded"),"Not accepted")))</x:f>
      </x:c>
    </x:row>
    <x:row r="87" ht="60" customHeight="1">
      <x:c r="A87" s="11"/>
      <x:c r="B87" s="11"/>
      <x:c r="C87" s="11"/>
      <x:c r="D87" s="15"/>
      <x:c r="E87" s="11"/>
      <x:c r="F87" s="11"/>
      <x:c r="G87" s="12"/>
      <x:c r="H87" s="12"/>
      <x:c r="I87" s="11"/>
      <x:c r="J87" s="11"/>
      <x:c r="K87" s="11"/>
      <x:c r="L87" s="11"/>
      <x:c r="M87" s="15"/>
      <x:c r="N87" s="14"/>
      <x:c r="O87" s="11"/>
      <x:c r="P87" s="21" t="str">
        <x:f>IF(A87="","",IF(COUNTIFS($A$7:$A$206,A87,$B$7:$B$206,B87)&lt;&gt;1,"Duplicate event ID",IF(I87&lt;&gt;"Accepted","Review pending",IF(OR(J87="",L87="",NOT(ISNUMBER(M87)),M87&lt;=0,NOT(ISNUMBER(D87)),D87&lt;=0),"Missing approval evidence","Recorded - verify authority"))))</x:f>
      </x:c>
      <x:c r="Q87" s="21" t="str">
        <x:f>IF(A87="","",IF(COUNTIFS(WBS!$A$7:$A$206,C87,WBS!$B$7:$B$206,B87,WBS!$D$7:$D$206,F87)=1,"Matched","Check WBS / unit"))</x:f>
      </x:c>
      <x:c r="R87" s="21" t="str">
        <x:f>IF(A87="","",IF(OR(NOT(ISNUMBER(G87)),G87&lt;0),"Check reported quantity",IF(I87="Accepted",IF(OR(NOT(ISNUMBER(H87)),H87&lt;0,H87&gt;G87),"Check accepted quantity","Recorded"),"Not accepted")))</x:f>
      </x:c>
    </x:row>
    <x:row r="88" ht="60" customHeight="1">
      <x:c r="A88" s="11"/>
      <x:c r="B88" s="11"/>
      <x:c r="C88" s="11"/>
      <x:c r="D88" s="15"/>
      <x:c r="E88" s="11"/>
      <x:c r="F88" s="11"/>
      <x:c r="G88" s="12"/>
      <x:c r="H88" s="12"/>
      <x:c r="I88" s="11"/>
      <x:c r="J88" s="11"/>
      <x:c r="K88" s="11"/>
      <x:c r="L88" s="11"/>
      <x:c r="M88" s="15"/>
      <x:c r="N88" s="14"/>
      <x:c r="O88" s="11"/>
      <x:c r="P88" s="21" t="str">
        <x:f>IF(A88="","",IF(COUNTIFS($A$7:$A$206,A88,$B$7:$B$206,B88)&lt;&gt;1,"Duplicate event ID",IF(I88&lt;&gt;"Accepted","Review pending",IF(OR(J88="",L88="",NOT(ISNUMBER(M88)),M88&lt;=0,NOT(ISNUMBER(D88)),D88&lt;=0),"Missing approval evidence","Recorded - verify authority"))))</x:f>
      </x:c>
      <x:c r="Q88" s="21" t="str">
        <x:f>IF(A88="","",IF(COUNTIFS(WBS!$A$7:$A$206,C88,WBS!$B$7:$B$206,B88,WBS!$D$7:$D$206,F88)=1,"Matched","Check WBS / unit"))</x:f>
      </x:c>
      <x:c r="R88" s="21" t="str">
        <x:f>IF(A88="","",IF(OR(NOT(ISNUMBER(G88)),G88&lt;0),"Check reported quantity",IF(I88="Accepted",IF(OR(NOT(ISNUMBER(H88)),H88&lt;0,H88&gt;G88),"Check accepted quantity","Recorded"),"Not accepted")))</x:f>
      </x:c>
    </x:row>
    <x:row r="89" ht="60" customHeight="1">
      <x:c r="A89" s="11"/>
      <x:c r="B89" s="11"/>
      <x:c r="C89" s="11"/>
      <x:c r="D89" s="15"/>
      <x:c r="E89" s="11"/>
      <x:c r="F89" s="11"/>
      <x:c r="G89" s="12"/>
      <x:c r="H89" s="12"/>
      <x:c r="I89" s="11"/>
      <x:c r="J89" s="11"/>
      <x:c r="K89" s="11"/>
      <x:c r="L89" s="11"/>
      <x:c r="M89" s="15"/>
      <x:c r="N89" s="14"/>
      <x:c r="O89" s="11"/>
      <x:c r="P89" s="21" t="str">
        <x:f>IF(A89="","",IF(COUNTIFS($A$7:$A$206,A89,$B$7:$B$206,B89)&lt;&gt;1,"Duplicate event ID",IF(I89&lt;&gt;"Accepted","Review pending",IF(OR(J89="",L89="",NOT(ISNUMBER(M89)),M89&lt;=0,NOT(ISNUMBER(D89)),D89&lt;=0),"Missing approval evidence","Recorded - verify authority"))))</x:f>
      </x:c>
      <x:c r="Q89" s="21" t="str">
        <x:f>IF(A89="","",IF(COUNTIFS(WBS!$A$7:$A$206,C89,WBS!$B$7:$B$206,B89,WBS!$D$7:$D$206,F89)=1,"Matched","Check WBS / unit"))</x:f>
      </x:c>
      <x:c r="R89" s="21" t="str">
        <x:f>IF(A89="","",IF(OR(NOT(ISNUMBER(G89)),G89&lt;0),"Check reported quantity",IF(I89="Accepted",IF(OR(NOT(ISNUMBER(H89)),H89&lt;0,H89&gt;G89),"Check accepted quantity","Recorded"),"Not accepted")))</x:f>
      </x:c>
    </x:row>
    <x:row r="90" ht="60" customHeight="1">
      <x:c r="A90" s="11"/>
      <x:c r="B90" s="11"/>
      <x:c r="C90" s="11"/>
      <x:c r="D90" s="15"/>
      <x:c r="E90" s="11"/>
      <x:c r="F90" s="11"/>
      <x:c r="G90" s="12"/>
      <x:c r="H90" s="12"/>
      <x:c r="I90" s="11"/>
      <x:c r="J90" s="11"/>
      <x:c r="K90" s="11"/>
      <x:c r="L90" s="11"/>
      <x:c r="M90" s="15"/>
      <x:c r="N90" s="14"/>
      <x:c r="O90" s="11"/>
      <x:c r="P90" s="21" t="str">
        <x:f>IF(A90="","",IF(COUNTIFS($A$7:$A$206,A90,$B$7:$B$206,B90)&lt;&gt;1,"Duplicate event ID",IF(I90&lt;&gt;"Accepted","Review pending",IF(OR(J90="",L90="",NOT(ISNUMBER(M90)),M90&lt;=0,NOT(ISNUMBER(D90)),D90&lt;=0),"Missing approval evidence","Recorded - verify authority"))))</x:f>
      </x:c>
      <x:c r="Q90" s="21" t="str">
        <x:f>IF(A90="","",IF(COUNTIFS(WBS!$A$7:$A$206,C90,WBS!$B$7:$B$206,B90,WBS!$D$7:$D$206,F90)=1,"Matched","Check WBS / unit"))</x:f>
      </x:c>
      <x:c r="R90" s="21" t="str">
        <x:f>IF(A90="","",IF(OR(NOT(ISNUMBER(G90)),G90&lt;0),"Check reported quantity",IF(I90="Accepted",IF(OR(NOT(ISNUMBER(H90)),H90&lt;0,H90&gt;G90),"Check accepted quantity","Recorded"),"Not accepted")))</x:f>
      </x:c>
    </x:row>
    <x:row r="91" ht="60" customHeight="1">
      <x:c r="A91" s="11"/>
      <x:c r="B91" s="11"/>
      <x:c r="C91" s="11"/>
      <x:c r="D91" s="15"/>
      <x:c r="E91" s="11"/>
      <x:c r="F91" s="11"/>
      <x:c r="G91" s="12"/>
      <x:c r="H91" s="12"/>
      <x:c r="I91" s="11"/>
      <x:c r="J91" s="11"/>
      <x:c r="K91" s="11"/>
      <x:c r="L91" s="11"/>
      <x:c r="M91" s="15"/>
      <x:c r="N91" s="14"/>
      <x:c r="O91" s="11"/>
      <x:c r="P91" s="21" t="str">
        <x:f>IF(A91="","",IF(COUNTIFS($A$7:$A$206,A91,$B$7:$B$206,B91)&lt;&gt;1,"Duplicate event ID",IF(I91&lt;&gt;"Accepted","Review pending",IF(OR(J91="",L91="",NOT(ISNUMBER(M91)),M91&lt;=0,NOT(ISNUMBER(D91)),D91&lt;=0),"Missing approval evidence","Recorded - verify authority"))))</x:f>
      </x:c>
      <x:c r="Q91" s="21" t="str">
        <x:f>IF(A91="","",IF(COUNTIFS(WBS!$A$7:$A$206,C91,WBS!$B$7:$B$206,B91,WBS!$D$7:$D$206,F91)=1,"Matched","Check WBS / unit"))</x:f>
      </x:c>
      <x:c r="R91" s="21" t="str">
        <x:f>IF(A91="","",IF(OR(NOT(ISNUMBER(G91)),G91&lt;0),"Check reported quantity",IF(I91="Accepted",IF(OR(NOT(ISNUMBER(H91)),H91&lt;0,H91&gt;G91),"Check accepted quantity","Recorded"),"Not accepted")))</x:f>
      </x:c>
    </x:row>
    <x:row r="92" ht="60" customHeight="1">
      <x:c r="A92" s="11"/>
      <x:c r="B92" s="11"/>
      <x:c r="C92" s="11"/>
      <x:c r="D92" s="15"/>
      <x:c r="E92" s="11"/>
      <x:c r="F92" s="11"/>
      <x:c r="G92" s="12"/>
      <x:c r="H92" s="12"/>
      <x:c r="I92" s="11"/>
      <x:c r="J92" s="11"/>
      <x:c r="K92" s="11"/>
      <x:c r="L92" s="11"/>
      <x:c r="M92" s="15"/>
      <x:c r="N92" s="14"/>
      <x:c r="O92" s="11"/>
      <x:c r="P92" s="21" t="str">
        <x:f>IF(A92="","",IF(COUNTIFS($A$7:$A$206,A92,$B$7:$B$206,B92)&lt;&gt;1,"Duplicate event ID",IF(I92&lt;&gt;"Accepted","Review pending",IF(OR(J92="",L92="",NOT(ISNUMBER(M92)),M92&lt;=0,NOT(ISNUMBER(D92)),D92&lt;=0),"Missing approval evidence","Recorded - verify authority"))))</x:f>
      </x:c>
      <x:c r="Q92" s="21" t="str">
        <x:f>IF(A92="","",IF(COUNTIFS(WBS!$A$7:$A$206,C92,WBS!$B$7:$B$206,B92,WBS!$D$7:$D$206,F92)=1,"Matched","Check WBS / unit"))</x:f>
      </x:c>
      <x:c r="R92" s="21" t="str">
        <x:f>IF(A92="","",IF(OR(NOT(ISNUMBER(G92)),G92&lt;0),"Check reported quantity",IF(I92="Accepted",IF(OR(NOT(ISNUMBER(H92)),H92&lt;0,H92&gt;G92),"Check accepted quantity","Recorded"),"Not accepted")))</x:f>
      </x:c>
    </x:row>
    <x:row r="93" ht="60" customHeight="1">
      <x:c r="A93" s="11"/>
      <x:c r="B93" s="11"/>
      <x:c r="C93" s="11"/>
      <x:c r="D93" s="15"/>
      <x:c r="E93" s="11"/>
      <x:c r="F93" s="11"/>
      <x:c r="G93" s="12"/>
      <x:c r="H93" s="12"/>
      <x:c r="I93" s="11"/>
      <x:c r="J93" s="11"/>
      <x:c r="K93" s="11"/>
      <x:c r="L93" s="11"/>
      <x:c r="M93" s="15"/>
      <x:c r="N93" s="14"/>
      <x:c r="O93" s="11"/>
      <x:c r="P93" s="21" t="str">
        <x:f>IF(A93="","",IF(COUNTIFS($A$7:$A$206,A93,$B$7:$B$206,B93)&lt;&gt;1,"Duplicate event ID",IF(I93&lt;&gt;"Accepted","Review pending",IF(OR(J93="",L93="",NOT(ISNUMBER(M93)),M93&lt;=0,NOT(ISNUMBER(D93)),D93&lt;=0),"Missing approval evidence","Recorded - verify authority"))))</x:f>
      </x:c>
      <x:c r="Q93" s="21" t="str">
        <x:f>IF(A93="","",IF(COUNTIFS(WBS!$A$7:$A$206,C93,WBS!$B$7:$B$206,B93,WBS!$D$7:$D$206,F93)=1,"Matched","Check WBS / unit"))</x:f>
      </x:c>
      <x:c r="R93" s="21" t="str">
        <x:f>IF(A93="","",IF(OR(NOT(ISNUMBER(G93)),G93&lt;0),"Check reported quantity",IF(I93="Accepted",IF(OR(NOT(ISNUMBER(H93)),H93&lt;0,H93&gt;G93),"Check accepted quantity","Recorded"),"Not accepted")))</x:f>
      </x:c>
    </x:row>
    <x:row r="94" ht="60" customHeight="1">
      <x:c r="A94" s="11"/>
      <x:c r="B94" s="11"/>
      <x:c r="C94" s="11"/>
      <x:c r="D94" s="15"/>
      <x:c r="E94" s="11"/>
      <x:c r="F94" s="11"/>
      <x:c r="G94" s="12"/>
      <x:c r="H94" s="12"/>
      <x:c r="I94" s="11"/>
      <x:c r="J94" s="11"/>
      <x:c r="K94" s="11"/>
      <x:c r="L94" s="11"/>
      <x:c r="M94" s="15"/>
      <x:c r="N94" s="14"/>
      <x:c r="O94" s="11"/>
      <x:c r="P94" s="21" t="str">
        <x:f>IF(A94="","",IF(COUNTIFS($A$7:$A$206,A94,$B$7:$B$206,B94)&lt;&gt;1,"Duplicate event ID",IF(I94&lt;&gt;"Accepted","Review pending",IF(OR(J94="",L94="",NOT(ISNUMBER(M94)),M94&lt;=0,NOT(ISNUMBER(D94)),D94&lt;=0),"Missing approval evidence","Recorded - verify authority"))))</x:f>
      </x:c>
      <x:c r="Q94" s="21" t="str">
        <x:f>IF(A94="","",IF(COUNTIFS(WBS!$A$7:$A$206,C94,WBS!$B$7:$B$206,B94,WBS!$D$7:$D$206,F94)=1,"Matched","Check WBS / unit"))</x:f>
      </x:c>
      <x:c r="R94" s="21" t="str">
        <x:f>IF(A94="","",IF(OR(NOT(ISNUMBER(G94)),G94&lt;0),"Check reported quantity",IF(I94="Accepted",IF(OR(NOT(ISNUMBER(H94)),H94&lt;0,H94&gt;G94),"Check accepted quantity","Recorded"),"Not accepted")))</x:f>
      </x:c>
    </x:row>
    <x:row r="95" ht="60" customHeight="1">
      <x:c r="A95" s="11"/>
      <x:c r="B95" s="11"/>
      <x:c r="C95" s="11"/>
      <x:c r="D95" s="15"/>
      <x:c r="E95" s="11"/>
      <x:c r="F95" s="11"/>
      <x:c r="G95" s="12"/>
      <x:c r="H95" s="12"/>
      <x:c r="I95" s="11"/>
      <x:c r="J95" s="11"/>
      <x:c r="K95" s="11"/>
      <x:c r="L95" s="11"/>
      <x:c r="M95" s="15"/>
      <x:c r="N95" s="14"/>
      <x:c r="O95" s="11"/>
      <x:c r="P95" s="21" t="str">
        <x:f>IF(A95="","",IF(COUNTIFS($A$7:$A$206,A95,$B$7:$B$206,B95)&lt;&gt;1,"Duplicate event ID",IF(I95&lt;&gt;"Accepted","Review pending",IF(OR(J95="",L95="",NOT(ISNUMBER(M95)),M95&lt;=0,NOT(ISNUMBER(D95)),D95&lt;=0),"Missing approval evidence","Recorded - verify authority"))))</x:f>
      </x:c>
      <x:c r="Q95" s="21" t="str">
        <x:f>IF(A95="","",IF(COUNTIFS(WBS!$A$7:$A$206,C95,WBS!$B$7:$B$206,B95,WBS!$D$7:$D$206,F95)=1,"Matched","Check WBS / unit"))</x:f>
      </x:c>
      <x:c r="R95" s="21" t="str">
        <x:f>IF(A95="","",IF(OR(NOT(ISNUMBER(G95)),G95&lt;0),"Check reported quantity",IF(I95="Accepted",IF(OR(NOT(ISNUMBER(H95)),H95&lt;0,H95&gt;G95),"Check accepted quantity","Recorded"),"Not accepted")))</x:f>
      </x:c>
    </x:row>
    <x:row r="96" ht="60" customHeight="1">
      <x:c r="A96" s="11"/>
      <x:c r="B96" s="11"/>
      <x:c r="C96" s="11"/>
      <x:c r="D96" s="15"/>
      <x:c r="E96" s="11"/>
      <x:c r="F96" s="11"/>
      <x:c r="G96" s="12"/>
      <x:c r="H96" s="12"/>
      <x:c r="I96" s="11"/>
      <x:c r="J96" s="11"/>
      <x:c r="K96" s="11"/>
      <x:c r="L96" s="11"/>
      <x:c r="M96" s="15"/>
      <x:c r="N96" s="14"/>
      <x:c r="O96" s="11"/>
      <x:c r="P96" s="21" t="str">
        <x:f>IF(A96="","",IF(COUNTIFS($A$7:$A$206,A96,$B$7:$B$206,B96)&lt;&gt;1,"Duplicate event ID",IF(I96&lt;&gt;"Accepted","Review pending",IF(OR(J96="",L96="",NOT(ISNUMBER(M96)),M96&lt;=0,NOT(ISNUMBER(D96)),D96&lt;=0),"Missing approval evidence","Recorded - verify authority"))))</x:f>
      </x:c>
      <x:c r="Q96" s="21" t="str">
        <x:f>IF(A96="","",IF(COUNTIFS(WBS!$A$7:$A$206,C96,WBS!$B$7:$B$206,B96,WBS!$D$7:$D$206,F96)=1,"Matched","Check WBS / unit"))</x:f>
      </x:c>
      <x:c r="R96" s="21" t="str">
        <x:f>IF(A96="","",IF(OR(NOT(ISNUMBER(G96)),G96&lt;0),"Check reported quantity",IF(I96="Accepted",IF(OR(NOT(ISNUMBER(H96)),H96&lt;0,H96&gt;G96),"Check accepted quantity","Recorded"),"Not accepted")))</x:f>
      </x:c>
    </x:row>
    <x:row r="97" ht="60" customHeight="1">
      <x:c r="A97" s="11"/>
      <x:c r="B97" s="11"/>
      <x:c r="C97" s="11"/>
      <x:c r="D97" s="15"/>
      <x:c r="E97" s="11"/>
      <x:c r="F97" s="11"/>
      <x:c r="G97" s="12"/>
      <x:c r="H97" s="12"/>
      <x:c r="I97" s="11"/>
      <x:c r="J97" s="11"/>
      <x:c r="K97" s="11"/>
      <x:c r="L97" s="11"/>
      <x:c r="M97" s="15"/>
      <x:c r="N97" s="14"/>
      <x:c r="O97" s="11"/>
      <x:c r="P97" s="21" t="str">
        <x:f>IF(A97="","",IF(COUNTIFS($A$7:$A$206,A97,$B$7:$B$206,B97)&lt;&gt;1,"Duplicate event ID",IF(I97&lt;&gt;"Accepted","Review pending",IF(OR(J97="",L97="",NOT(ISNUMBER(M97)),M97&lt;=0,NOT(ISNUMBER(D97)),D97&lt;=0),"Missing approval evidence","Recorded - verify authority"))))</x:f>
      </x:c>
      <x:c r="Q97" s="21" t="str">
        <x:f>IF(A97="","",IF(COUNTIFS(WBS!$A$7:$A$206,C97,WBS!$B$7:$B$206,B97,WBS!$D$7:$D$206,F97)=1,"Matched","Check WBS / unit"))</x:f>
      </x:c>
      <x:c r="R97" s="21" t="str">
        <x:f>IF(A97="","",IF(OR(NOT(ISNUMBER(G97)),G97&lt;0),"Check reported quantity",IF(I97="Accepted",IF(OR(NOT(ISNUMBER(H97)),H97&lt;0,H97&gt;G97),"Check accepted quantity","Recorded"),"Not accepted")))</x:f>
      </x:c>
    </x:row>
    <x:row r="98" ht="60" customHeight="1">
      <x:c r="A98" s="11"/>
      <x:c r="B98" s="11"/>
      <x:c r="C98" s="11"/>
      <x:c r="D98" s="15"/>
      <x:c r="E98" s="11"/>
      <x:c r="F98" s="11"/>
      <x:c r="G98" s="12"/>
      <x:c r="H98" s="12"/>
      <x:c r="I98" s="11"/>
      <x:c r="J98" s="11"/>
      <x:c r="K98" s="11"/>
      <x:c r="L98" s="11"/>
      <x:c r="M98" s="15"/>
      <x:c r="N98" s="14"/>
      <x:c r="O98" s="11"/>
      <x:c r="P98" s="21" t="str">
        <x:f>IF(A98="","",IF(COUNTIFS($A$7:$A$206,A98,$B$7:$B$206,B98)&lt;&gt;1,"Duplicate event ID",IF(I98&lt;&gt;"Accepted","Review pending",IF(OR(J98="",L98="",NOT(ISNUMBER(M98)),M98&lt;=0,NOT(ISNUMBER(D98)),D98&lt;=0),"Missing approval evidence","Recorded - verify authority"))))</x:f>
      </x:c>
      <x:c r="Q98" s="21" t="str">
        <x:f>IF(A98="","",IF(COUNTIFS(WBS!$A$7:$A$206,C98,WBS!$B$7:$B$206,B98,WBS!$D$7:$D$206,F98)=1,"Matched","Check WBS / unit"))</x:f>
      </x:c>
      <x:c r="R98" s="21" t="str">
        <x:f>IF(A98="","",IF(OR(NOT(ISNUMBER(G98)),G98&lt;0),"Check reported quantity",IF(I98="Accepted",IF(OR(NOT(ISNUMBER(H98)),H98&lt;0,H98&gt;G98),"Check accepted quantity","Recorded"),"Not accepted")))</x:f>
      </x:c>
    </x:row>
    <x:row r="99" ht="60" customHeight="1">
      <x:c r="A99" s="11"/>
      <x:c r="B99" s="11"/>
      <x:c r="C99" s="11"/>
      <x:c r="D99" s="15"/>
      <x:c r="E99" s="11"/>
      <x:c r="F99" s="11"/>
      <x:c r="G99" s="12"/>
      <x:c r="H99" s="12"/>
      <x:c r="I99" s="11"/>
      <x:c r="J99" s="11"/>
      <x:c r="K99" s="11"/>
      <x:c r="L99" s="11"/>
      <x:c r="M99" s="15"/>
      <x:c r="N99" s="14"/>
      <x:c r="O99" s="11"/>
      <x:c r="P99" s="21" t="str">
        <x:f>IF(A99="","",IF(COUNTIFS($A$7:$A$206,A99,$B$7:$B$206,B99)&lt;&gt;1,"Duplicate event ID",IF(I99&lt;&gt;"Accepted","Review pending",IF(OR(J99="",L99="",NOT(ISNUMBER(M99)),M99&lt;=0,NOT(ISNUMBER(D99)),D99&lt;=0),"Missing approval evidence","Recorded - verify authority"))))</x:f>
      </x:c>
      <x:c r="Q99" s="21" t="str">
        <x:f>IF(A99="","",IF(COUNTIFS(WBS!$A$7:$A$206,C99,WBS!$B$7:$B$206,B99,WBS!$D$7:$D$206,F99)=1,"Matched","Check WBS / unit"))</x:f>
      </x:c>
      <x:c r="R99" s="21" t="str">
        <x:f>IF(A99="","",IF(OR(NOT(ISNUMBER(G99)),G99&lt;0),"Check reported quantity",IF(I99="Accepted",IF(OR(NOT(ISNUMBER(H99)),H99&lt;0,H99&gt;G99),"Check accepted quantity","Recorded"),"Not accepted")))</x:f>
      </x:c>
    </x:row>
    <x:row r="100" ht="60" customHeight="1">
      <x:c r="A100" s="11"/>
      <x:c r="B100" s="11"/>
      <x:c r="C100" s="11"/>
      <x:c r="D100" s="15"/>
      <x:c r="E100" s="11"/>
      <x:c r="F100" s="11"/>
      <x:c r="G100" s="12"/>
      <x:c r="H100" s="12"/>
      <x:c r="I100" s="11"/>
      <x:c r="J100" s="11"/>
      <x:c r="K100" s="11"/>
      <x:c r="L100" s="11"/>
      <x:c r="M100" s="15"/>
      <x:c r="N100" s="14"/>
      <x:c r="O100" s="11"/>
      <x:c r="P100" s="21" t="str">
        <x:f>IF(A100="","",IF(COUNTIFS($A$7:$A$206,A100,$B$7:$B$206,B100)&lt;&gt;1,"Duplicate event ID",IF(I100&lt;&gt;"Accepted","Review pending",IF(OR(J100="",L100="",NOT(ISNUMBER(M100)),M100&lt;=0,NOT(ISNUMBER(D100)),D100&lt;=0),"Missing approval evidence","Recorded - verify authority"))))</x:f>
      </x:c>
      <x:c r="Q100" s="21" t="str">
        <x:f>IF(A100="","",IF(COUNTIFS(WBS!$A$7:$A$206,C100,WBS!$B$7:$B$206,B100,WBS!$D$7:$D$206,F100)=1,"Matched","Check WBS / unit"))</x:f>
      </x:c>
      <x:c r="R100" s="21" t="str">
        <x:f>IF(A100="","",IF(OR(NOT(ISNUMBER(G100)),G100&lt;0),"Check reported quantity",IF(I100="Accepted",IF(OR(NOT(ISNUMBER(H100)),H100&lt;0,H100&gt;G100),"Check accepted quantity","Recorded"),"Not accepted")))</x:f>
      </x:c>
    </x:row>
    <x:row r="101" ht="60" customHeight="1">
      <x:c r="A101" s="11"/>
      <x:c r="B101" s="11"/>
      <x:c r="C101" s="11"/>
      <x:c r="D101" s="15"/>
      <x:c r="E101" s="11"/>
      <x:c r="F101" s="11"/>
      <x:c r="G101" s="12"/>
      <x:c r="H101" s="12"/>
      <x:c r="I101" s="11"/>
      <x:c r="J101" s="11"/>
      <x:c r="K101" s="11"/>
      <x:c r="L101" s="11"/>
      <x:c r="M101" s="15"/>
      <x:c r="N101" s="14"/>
      <x:c r="O101" s="11"/>
      <x:c r="P101" s="21" t="str">
        <x:f>IF(A101="","",IF(COUNTIFS($A$7:$A$206,A101,$B$7:$B$206,B101)&lt;&gt;1,"Duplicate event ID",IF(I101&lt;&gt;"Accepted","Review pending",IF(OR(J101="",L101="",NOT(ISNUMBER(M101)),M101&lt;=0,NOT(ISNUMBER(D101)),D101&lt;=0),"Missing approval evidence","Recorded - verify authority"))))</x:f>
      </x:c>
      <x:c r="Q101" s="21" t="str">
        <x:f>IF(A101="","",IF(COUNTIFS(WBS!$A$7:$A$206,C101,WBS!$B$7:$B$206,B101,WBS!$D$7:$D$206,F101)=1,"Matched","Check WBS / unit"))</x:f>
      </x:c>
      <x:c r="R101" s="21" t="str">
        <x:f>IF(A101="","",IF(OR(NOT(ISNUMBER(G101)),G101&lt;0),"Check reported quantity",IF(I101="Accepted",IF(OR(NOT(ISNUMBER(H101)),H101&lt;0,H101&gt;G101),"Check accepted quantity","Recorded"),"Not accepted")))</x:f>
      </x:c>
    </x:row>
    <x:row r="102" ht="60" customHeight="1">
      <x:c r="A102" s="11"/>
      <x:c r="B102" s="11"/>
      <x:c r="C102" s="11"/>
      <x:c r="D102" s="15"/>
      <x:c r="E102" s="11"/>
      <x:c r="F102" s="11"/>
      <x:c r="G102" s="12"/>
      <x:c r="H102" s="12"/>
      <x:c r="I102" s="11"/>
      <x:c r="J102" s="11"/>
      <x:c r="K102" s="11"/>
      <x:c r="L102" s="11"/>
      <x:c r="M102" s="15"/>
      <x:c r="N102" s="14"/>
      <x:c r="O102" s="11"/>
      <x:c r="P102" s="21" t="str">
        <x:f>IF(A102="","",IF(COUNTIFS($A$7:$A$206,A102,$B$7:$B$206,B102)&lt;&gt;1,"Duplicate event ID",IF(I102&lt;&gt;"Accepted","Review pending",IF(OR(J102="",L102="",NOT(ISNUMBER(M102)),M102&lt;=0,NOT(ISNUMBER(D102)),D102&lt;=0),"Missing approval evidence","Recorded - verify authority"))))</x:f>
      </x:c>
      <x:c r="Q102" s="21" t="str">
        <x:f>IF(A102="","",IF(COUNTIFS(WBS!$A$7:$A$206,C102,WBS!$B$7:$B$206,B102,WBS!$D$7:$D$206,F102)=1,"Matched","Check WBS / unit"))</x:f>
      </x:c>
      <x:c r="R102" s="21" t="str">
        <x:f>IF(A102="","",IF(OR(NOT(ISNUMBER(G102)),G102&lt;0),"Check reported quantity",IF(I102="Accepted",IF(OR(NOT(ISNUMBER(H102)),H102&lt;0,H102&gt;G102),"Check accepted quantity","Recorded"),"Not accepted")))</x:f>
      </x:c>
    </x:row>
    <x:row r="103" ht="60" customHeight="1">
      <x:c r="A103" s="11"/>
      <x:c r="B103" s="11"/>
      <x:c r="C103" s="11"/>
      <x:c r="D103" s="15"/>
      <x:c r="E103" s="11"/>
      <x:c r="F103" s="11"/>
      <x:c r="G103" s="12"/>
      <x:c r="H103" s="12"/>
      <x:c r="I103" s="11"/>
      <x:c r="J103" s="11"/>
      <x:c r="K103" s="11"/>
      <x:c r="L103" s="11"/>
      <x:c r="M103" s="15"/>
      <x:c r="N103" s="14"/>
      <x:c r="O103" s="11"/>
      <x:c r="P103" s="21" t="str">
        <x:f>IF(A103="","",IF(COUNTIFS($A$7:$A$206,A103,$B$7:$B$206,B103)&lt;&gt;1,"Duplicate event ID",IF(I103&lt;&gt;"Accepted","Review pending",IF(OR(J103="",L103="",NOT(ISNUMBER(M103)),M103&lt;=0,NOT(ISNUMBER(D103)),D103&lt;=0),"Missing approval evidence","Recorded - verify authority"))))</x:f>
      </x:c>
      <x:c r="Q103" s="21" t="str">
        <x:f>IF(A103="","",IF(COUNTIFS(WBS!$A$7:$A$206,C103,WBS!$B$7:$B$206,B103,WBS!$D$7:$D$206,F103)=1,"Matched","Check WBS / unit"))</x:f>
      </x:c>
      <x:c r="R103" s="21" t="str">
        <x:f>IF(A103="","",IF(OR(NOT(ISNUMBER(G103)),G103&lt;0),"Check reported quantity",IF(I103="Accepted",IF(OR(NOT(ISNUMBER(H103)),H103&lt;0,H103&gt;G103),"Check accepted quantity","Recorded"),"Not accepted")))</x:f>
      </x:c>
    </x:row>
    <x:row r="104" ht="60" customHeight="1">
      <x:c r="A104" s="11"/>
      <x:c r="B104" s="11"/>
      <x:c r="C104" s="11"/>
      <x:c r="D104" s="15"/>
      <x:c r="E104" s="11"/>
      <x:c r="F104" s="11"/>
      <x:c r="G104" s="12"/>
      <x:c r="H104" s="12"/>
      <x:c r="I104" s="11"/>
      <x:c r="J104" s="11"/>
      <x:c r="K104" s="11"/>
      <x:c r="L104" s="11"/>
      <x:c r="M104" s="15"/>
      <x:c r="N104" s="14"/>
      <x:c r="O104" s="11"/>
      <x:c r="P104" s="21" t="str">
        <x:f>IF(A104="","",IF(COUNTIFS($A$7:$A$206,A104,$B$7:$B$206,B104)&lt;&gt;1,"Duplicate event ID",IF(I104&lt;&gt;"Accepted","Review pending",IF(OR(J104="",L104="",NOT(ISNUMBER(M104)),M104&lt;=0,NOT(ISNUMBER(D104)),D104&lt;=0),"Missing approval evidence","Recorded - verify authority"))))</x:f>
      </x:c>
      <x:c r="Q104" s="21" t="str">
        <x:f>IF(A104="","",IF(COUNTIFS(WBS!$A$7:$A$206,C104,WBS!$B$7:$B$206,B104,WBS!$D$7:$D$206,F104)=1,"Matched","Check WBS / unit"))</x:f>
      </x:c>
      <x:c r="R104" s="21" t="str">
        <x:f>IF(A104="","",IF(OR(NOT(ISNUMBER(G104)),G104&lt;0),"Check reported quantity",IF(I104="Accepted",IF(OR(NOT(ISNUMBER(H104)),H104&lt;0,H104&gt;G104),"Check accepted quantity","Recorded"),"Not accepted")))</x:f>
      </x:c>
    </x:row>
    <x:row r="105" ht="60" customHeight="1">
      <x:c r="A105" s="11"/>
      <x:c r="B105" s="11"/>
      <x:c r="C105" s="11"/>
      <x:c r="D105" s="15"/>
      <x:c r="E105" s="11"/>
      <x:c r="F105" s="11"/>
      <x:c r="G105" s="12"/>
      <x:c r="H105" s="12"/>
      <x:c r="I105" s="11"/>
      <x:c r="J105" s="11"/>
      <x:c r="K105" s="11"/>
      <x:c r="L105" s="11"/>
      <x:c r="M105" s="15"/>
      <x:c r="N105" s="14"/>
      <x:c r="O105" s="11"/>
      <x:c r="P105" s="21" t="str">
        <x:f>IF(A105="","",IF(COUNTIFS($A$7:$A$206,A105,$B$7:$B$206,B105)&lt;&gt;1,"Duplicate event ID",IF(I105&lt;&gt;"Accepted","Review pending",IF(OR(J105="",L105="",NOT(ISNUMBER(M105)),M105&lt;=0,NOT(ISNUMBER(D105)),D105&lt;=0),"Missing approval evidence","Recorded - verify authority"))))</x:f>
      </x:c>
      <x:c r="Q105" s="21" t="str">
        <x:f>IF(A105="","",IF(COUNTIFS(WBS!$A$7:$A$206,C105,WBS!$B$7:$B$206,B105,WBS!$D$7:$D$206,F105)=1,"Matched","Check WBS / unit"))</x:f>
      </x:c>
      <x:c r="R105" s="21" t="str">
        <x:f>IF(A105="","",IF(OR(NOT(ISNUMBER(G105)),G105&lt;0),"Check reported quantity",IF(I105="Accepted",IF(OR(NOT(ISNUMBER(H105)),H105&lt;0,H105&gt;G105),"Check accepted quantity","Recorded"),"Not accepted")))</x:f>
      </x:c>
    </x:row>
    <x:row r="106" ht="60" customHeight="1">
      <x:c r="A106" s="11"/>
      <x:c r="B106" s="11"/>
      <x:c r="C106" s="11"/>
      <x:c r="D106" s="15"/>
      <x:c r="E106" s="11"/>
      <x:c r="F106" s="11"/>
      <x:c r="G106" s="12"/>
      <x:c r="H106" s="12"/>
      <x:c r="I106" s="11"/>
      <x:c r="J106" s="11"/>
      <x:c r="K106" s="11"/>
      <x:c r="L106" s="11"/>
      <x:c r="M106" s="15"/>
      <x:c r="N106" s="14"/>
      <x:c r="O106" s="11"/>
      <x:c r="P106" s="21" t="str">
        <x:f>IF(A106="","",IF(COUNTIFS($A$7:$A$206,A106,$B$7:$B$206,B106)&lt;&gt;1,"Duplicate event ID",IF(I106&lt;&gt;"Accepted","Review pending",IF(OR(J106="",L106="",NOT(ISNUMBER(M106)),M106&lt;=0,NOT(ISNUMBER(D106)),D106&lt;=0),"Missing approval evidence","Recorded - verify authority"))))</x:f>
      </x:c>
      <x:c r="Q106" s="21" t="str">
        <x:f>IF(A106="","",IF(COUNTIFS(WBS!$A$7:$A$206,C106,WBS!$B$7:$B$206,B106,WBS!$D$7:$D$206,F106)=1,"Matched","Check WBS / unit"))</x:f>
      </x:c>
      <x:c r="R106" s="21" t="str">
        <x:f>IF(A106="","",IF(OR(NOT(ISNUMBER(G106)),G106&lt;0),"Check reported quantity",IF(I106="Accepted",IF(OR(NOT(ISNUMBER(H106)),H106&lt;0,H106&gt;G106),"Check accepted quantity","Recorded"),"Not accepted")))</x:f>
      </x:c>
    </x:row>
    <x:row r="107" ht="60" customHeight="1">
      <x:c r="A107" s="11"/>
      <x:c r="B107" s="11"/>
      <x:c r="C107" s="11"/>
      <x:c r="D107" s="15"/>
      <x:c r="E107" s="11"/>
      <x:c r="F107" s="11"/>
      <x:c r="G107" s="12"/>
      <x:c r="H107" s="12"/>
      <x:c r="I107" s="11"/>
      <x:c r="J107" s="11"/>
      <x:c r="K107" s="11"/>
      <x:c r="L107" s="11"/>
      <x:c r="M107" s="15"/>
      <x:c r="N107" s="14"/>
      <x:c r="O107" s="11"/>
      <x:c r="P107" s="21" t="str">
        <x:f>IF(A107="","",IF(COUNTIFS($A$7:$A$206,A107,$B$7:$B$206,B107)&lt;&gt;1,"Duplicate event ID",IF(I107&lt;&gt;"Accepted","Review pending",IF(OR(J107="",L107="",NOT(ISNUMBER(M107)),M107&lt;=0,NOT(ISNUMBER(D107)),D107&lt;=0),"Missing approval evidence","Recorded - verify authority"))))</x:f>
      </x:c>
      <x:c r="Q107" s="21" t="str">
        <x:f>IF(A107="","",IF(COUNTIFS(WBS!$A$7:$A$206,C107,WBS!$B$7:$B$206,B107,WBS!$D$7:$D$206,F107)=1,"Matched","Check WBS / unit"))</x:f>
      </x:c>
      <x:c r="R107" s="21" t="str">
        <x:f>IF(A107="","",IF(OR(NOT(ISNUMBER(G107)),G107&lt;0),"Check reported quantity",IF(I107="Accepted",IF(OR(NOT(ISNUMBER(H107)),H107&lt;0,H107&gt;G107),"Check accepted quantity","Recorded"),"Not accepted")))</x:f>
      </x:c>
    </x:row>
    <x:row r="108" ht="60" customHeight="1">
      <x:c r="A108" s="11"/>
      <x:c r="B108" s="11"/>
      <x:c r="C108" s="11"/>
      <x:c r="D108" s="15"/>
      <x:c r="E108" s="11"/>
      <x:c r="F108" s="11"/>
      <x:c r="G108" s="12"/>
      <x:c r="H108" s="12"/>
      <x:c r="I108" s="11"/>
      <x:c r="J108" s="11"/>
      <x:c r="K108" s="11"/>
      <x:c r="L108" s="11"/>
      <x:c r="M108" s="15"/>
      <x:c r="N108" s="14"/>
      <x:c r="O108" s="11"/>
      <x:c r="P108" s="21" t="str">
        <x:f>IF(A108="","",IF(COUNTIFS($A$7:$A$206,A108,$B$7:$B$206,B108)&lt;&gt;1,"Duplicate event ID",IF(I108&lt;&gt;"Accepted","Review pending",IF(OR(J108="",L108="",NOT(ISNUMBER(M108)),M108&lt;=0,NOT(ISNUMBER(D108)),D108&lt;=0),"Missing approval evidence","Recorded - verify authority"))))</x:f>
      </x:c>
      <x:c r="Q108" s="21" t="str">
        <x:f>IF(A108="","",IF(COUNTIFS(WBS!$A$7:$A$206,C108,WBS!$B$7:$B$206,B108,WBS!$D$7:$D$206,F108)=1,"Matched","Check WBS / unit"))</x:f>
      </x:c>
      <x:c r="R108" s="21" t="str">
        <x:f>IF(A108="","",IF(OR(NOT(ISNUMBER(G108)),G108&lt;0),"Check reported quantity",IF(I108="Accepted",IF(OR(NOT(ISNUMBER(H108)),H108&lt;0,H108&gt;G108),"Check accepted quantity","Recorded"),"Not accepted")))</x:f>
      </x:c>
    </x:row>
    <x:row r="109" ht="60" customHeight="1">
      <x:c r="A109" s="11"/>
      <x:c r="B109" s="11"/>
      <x:c r="C109" s="11"/>
      <x:c r="D109" s="15"/>
      <x:c r="E109" s="11"/>
      <x:c r="F109" s="11"/>
      <x:c r="G109" s="12"/>
      <x:c r="H109" s="12"/>
      <x:c r="I109" s="11"/>
      <x:c r="J109" s="11"/>
      <x:c r="K109" s="11"/>
      <x:c r="L109" s="11"/>
      <x:c r="M109" s="15"/>
      <x:c r="N109" s="14"/>
      <x:c r="O109" s="11"/>
      <x:c r="P109" s="21" t="str">
        <x:f>IF(A109="","",IF(COUNTIFS($A$7:$A$206,A109,$B$7:$B$206,B109)&lt;&gt;1,"Duplicate event ID",IF(I109&lt;&gt;"Accepted","Review pending",IF(OR(J109="",L109="",NOT(ISNUMBER(M109)),M109&lt;=0,NOT(ISNUMBER(D109)),D109&lt;=0),"Missing approval evidence","Recorded - verify authority"))))</x:f>
      </x:c>
      <x:c r="Q109" s="21" t="str">
        <x:f>IF(A109="","",IF(COUNTIFS(WBS!$A$7:$A$206,C109,WBS!$B$7:$B$206,B109,WBS!$D$7:$D$206,F109)=1,"Matched","Check WBS / unit"))</x:f>
      </x:c>
      <x:c r="R109" s="21" t="str">
        <x:f>IF(A109="","",IF(OR(NOT(ISNUMBER(G109)),G109&lt;0),"Check reported quantity",IF(I109="Accepted",IF(OR(NOT(ISNUMBER(H109)),H109&lt;0,H109&gt;G109),"Check accepted quantity","Recorded"),"Not accepted")))</x:f>
      </x:c>
    </x:row>
    <x:row r="110" ht="60" customHeight="1">
      <x:c r="A110" s="11"/>
      <x:c r="B110" s="11"/>
      <x:c r="C110" s="11"/>
      <x:c r="D110" s="15"/>
      <x:c r="E110" s="11"/>
      <x:c r="F110" s="11"/>
      <x:c r="G110" s="12"/>
      <x:c r="H110" s="12"/>
      <x:c r="I110" s="11"/>
      <x:c r="J110" s="11"/>
      <x:c r="K110" s="11"/>
      <x:c r="L110" s="11"/>
      <x:c r="M110" s="15"/>
      <x:c r="N110" s="14"/>
      <x:c r="O110" s="11"/>
      <x:c r="P110" s="21" t="str">
        <x:f>IF(A110="","",IF(COUNTIFS($A$7:$A$206,A110,$B$7:$B$206,B110)&lt;&gt;1,"Duplicate event ID",IF(I110&lt;&gt;"Accepted","Review pending",IF(OR(J110="",L110="",NOT(ISNUMBER(M110)),M110&lt;=0,NOT(ISNUMBER(D110)),D110&lt;=0),"Missing approval evidence","Recorded - verify authority"))))</x:f>
      </x:c>
      <x:c r="Q110" s="21" t="str">
        <x:f>IF(A110="","",IF(COUNTIFS(WBS!$A$7:$A$206,C110,WBS!$B$7:$B$206,B110,WBS!$D$7:$D$206,F110)=1,"Matched","Check WBS / unit"))</x:f>
      </x:c>
      <x:c r="R110" s="21" t="str">
        <x:f>IF(A110="","",IF(OR(NOT(ISNUMBER(G110)),G110&lt;0),"Check reported quantity",IF(I110="Accepted",IF(OR(NOT(ISNUMBER(H110)),H110&lt;0,H110&gt;G110),"Check accepted quantity","Recorded"),"Not accepted")))</x:f>
      </x:c>
    </x:row>
    <x:row r="111" ht="60" customHeight="1">
      <x:c r="A111" s="11"/>
      <x:c r="B111" s="11"/>
      <x:c r="C111" s="11"/>
      <x:c r="D111" s="15"/>
      <x:c r="E111" s="11"/>
      <x:c r="F111" s="11"/>
      <x:c r="G111" s="12"/>
      <x:c r="H111" s="12"/>
      <x:c r="I111" s="11"/>
      <x:c r="J111" s="11"/>
      <x:c r="K111" s="11"/>
      <x:c r="L111" s="11"/>
      <x:c r="M111" s="15"/>
      <x:c r="N111" s="14"/>
      <x:c r="O111" s="11"/>
      <x:c r="P111" s="21" t="str">
        <x:f>IF(A111="","",IF(COUNTIFS($A$7:$A$206,A111,$B$7:$B$206,B111)&lt;&gt;1,"Duplicate event ID",IF(I111&lt;&gt;"Accepted","Review pending",IF(OR(J111="",L111="",NOT(ISNUMBER(M111)),M111&lt;=0,NOT(ISNUMBER(D111)),D111&lt;=0),"Missing approval evidence","Recorded - verify authority"))))</x:f>
      </x:c>
      <x:c r="Q111" s="21" t="str">
        <x:f>IF(A111="","",IF(COUNTIFS(WBS!$A$7:$A$206,C111,WBS!$B$7:$B$206,B111,WBS!$D$7:$D$206,F111)=1,"Matched","Check WBS / unit"))</x:f>
      </x:c>
      <x:c r="R111" s="21" t="str">
        <x:f>IF(A111="","",IF(OR(NOT(ISNUMBER(G111)),G111&lt;0),"Check reported quantity",IF(I111="Accepted",IF(OR(NOT(ISNUMBER(H111)),H111&lt;0,H111&gt;G111),"Check accepted quantity","Recorded"),"Not accepted")))</x:f>
      </x:c>
    </x:row>
    <x:row r="112" ht="60" customHeight="1">
      <x:c r="A112" s="11"/>
      <x:c r="B112" s="11"/>
      <x:c r="C112" s="11"/>
      <x:c r="D112" s="15"/>
      <x:c r="E112" s="11"/>
      <x:c r="F112" s="11"/>
      <x:c r="G112" s="12"/>
      <x:c r="H112" s="12"/>
      <x:c r="I112" s="11"/>
      <x:c r="J112" s="11"/>
      <x:c r="K112" s="11"/>
      <x:c r="L112" s="11"/>
      <x:c r="M112" s="15"/>
      <x:c r="N112" s="14"/>
      <x:c r="O112" s="11"/>
      <x:c r="P112" s="21" t="str">
        <x:f>IF(A112="","",IF(COUNTIFS($A$7:$A$206,A112,$B$7:$B$206,B112)&lt;&gt;1,"Duplicate event ID",IF(I112&lt;&gt;"Accepted","Review pending",IF(OR(J112="",L112="",NOT(ISNUMBER(M112)),M112&lt;=0,NOT(ISNUMBER(D112)),D112&lt;=0),"Missing approval evidence","Recorded - verify authority"))))</x:f>
      </x:c>
      <x:c r="Q112" s="21" t="str">
        <x:f>IF(A112="","",IF(COUNTIFS(WBS!$A$7:$A$206,C112,WBS!$B$7:$B$206,B112,WBS!$D$7:$D$206,F112)=1,"Matched","Check WBS / unit"))</x:f>
      </x:c>
      <x:c r="R112" s="21" t="str">
        <x:f>IF(A112="","",IF(OR(NOT(ISNUMBER(G112)),G112&lt;0),"Check reported quantity",IF(I112="Accepted",IF(OR(NOT(ISNUMBER(H112)),H112&lt;0,H112&gt;G112),"Check accepted quantity","Recorded"),"Not accepted")))</x:f>
      </x:c>
    </x:row>
    <x:row r="113" ht="60" customHeight="1">
      <x:c r="A113" s="11"/>
      <x:c r="B113" s="11"/>
      <x:c r="C113" s="11"/>
      <x:c r="D113" s="15"/>
      <x:c r="E113" s="11"/>
      <x:c r="F113" s="11"/>
      <x:c r="G113" s="12"/>
      <x:c r="H113" s="12"/>
      <x:c r="I113" s="11"/>
      <x:c r="J113" s="11"/>
      <x:c r="K113" s="11"/>
      <x:c r="L113" s="11"/>
      <x:c r="M113" s="15"/>
      <x:c r="N113" s="14"/>
      <x:c r="O113" s="11"/>
      <x:c r="P113" s="21" t="str">
        <x:f>IF(A113="","",IF(COUNTIFS($A$7:$A$206,A113,$B$7:$B$206,B113)&lt;&gt;1,"Duplicate event ID",IF(I113&lt;&gt;"Accepted","Review pending",IF(OR(J113="",L113="",NOT(ISNUMBER(M113)),M113&lt;=0,NOT(ISNUMBER(D113)),D113&lt;=0),"Missing approval evidence","Recorded - verify authority"))))</x:f>
      </x:c>
      <x:c r="Q113" s="21" t="str">
        <x:f>IF(A113="","",IF(COUNTIFS(WBS!$A$7:$A$206,C113,WBS!$B$7:$B$206,B113,WBS!$D$7:$D$206,F113)=1,"Matched","Check WBS / unit"))</x:f>
      </x:c>
      <x:c r="R113" s="21" t="str">
        <x:f>IF(A113="","",IF(OR(NOT(ISNUMBER(G113)),G113&lt;0),"Check reported quantity",IF(I113="Accepted",IF(OR(NOT(ISNUMBER(H113)),H113&lt;0,H113&gt;G113),"Check accepted quantity","Recorded"),"Not accepted")))</x:f>
      </x:c>
    </x:row>
    <x:row r="114" ht="60" customHeight="1">
      <x:c r="A114" s="11"/>
      <x:c r="B114" s="11"/>
      <x:c r="C114" s="11"/>
      <x:c r="D114" s="15"/>
      <x:c r="E114" s="11"/>
      <x:c r="F114" s="11"/>
      <x:c r="G114" s="12"/>
      <x:c r="H114" s="12"/>
      <x:c r="I114" s="11"/>
      <x:c r="J114" s="11"/>
      <x:c r="K114" s="11"/>
      <x:c r="L114" s="11"/>
      <x:c r="M114" s="15"/>
      <x:c r="N114" s="14"/>
      <x:c r="O114" s="11"/>
      <x:c r="P114" s="21" t="str">
        <x:f>IF(A114="","",IF(COUNTIFS($A$7:$A$206,A114,$B$7:$B$206,B114)&lt;&gt;1,"Duplicate event ID",IF(I114&lt;&gt;"Accepted","Review pending",IF(OR(J114="",L114="",NOT(ISNUMBER(M114)),M114&lt;=0,NOT(ISNUMBER(D114)),D114&lt;=0),"Missing approval evidence","Recorded - verify authority"))))</x:f>
      </x:c>
      <x:c r="Q114" s="21" t="str">
        <x:f>IF(A114="","",IF(COUNTIFS(WBS!$A$7:$A$206,C114,WBS!$B$7:$B$206,B114,WBS!$D$7:$D$206,F114)=1,"Matched","Check WBS / unit"))</x:f>
      </x:c>
      <x:c r="R114" s="21" t="str">
        <x:f>IF(A114="","",IF(OR(NOT(ISNUMBER(G114)),G114&lt;0),"Check reported quantity",IF(I114="Accepted",IF(OR(NOT(ISNUMBER(H114)),H114&lt;0,H114&gt;G114),"Check accepted quantity","Recorded"),"Not accepted")))</x:f>
      </x:c>
    </x:row>
    <x:row r="115" ht="60" customHeight="1">
      <x:c r="A115" s="11"/>
      <x:c r="B115" s="11"/>
      <x:c r="C115" s="11"/>
      <x:c r="D115" s="15"/>
      <x:c r="E115" s="11"/>
      <x:c r="F115" s="11"/>
      <x:c r="G115" s="12"/>
      <x:c r="H115" s="12"/>
      <x:c r="I115" s="11"/>
      <x:c r="J115" s="11"/>
      <x:c r="K115" s="11"/>
      <x:c r="L115" s="11"/>
      <x:c r="M115" s="15"/>
      <x:c r="N115" s="14"/>
      <x:c r="O115" s="11"/>
      <x:c r="P115" s="21" t="str">
        <x:f>IF(A115="","",IF(COUNTIFS($A$7:$A$206,A115,$B$7:$B$206,B115)&lt;&gt;1,"Duplicate event ID",IF(I115&lt;&gt;"Accepted","Review pending",IF(OR(J115="",L115="",NOT(ISNUMBER(M115)),M115&lt;=0,NOT(ISNUMBER(D115)),D115&lt;=0),"Missing approval evidence","Recorded - verify authority"))))</x:f>
      </x:c>
      <x:c r="Q115" s="21" t="str">
        <x:f>IF(A115="","",IF(COUNTIFS(WBS!$A$7:$A$206,C115,WBS!$B$7:$B$206,B115,WBS!$D$7:$D$206,F115)=1,"Matched","Check WBS / unit"))</x:f>
      </x:c>
      <x:c r="R115" s="21" t="str">
        <x:f>IF(A115="","",IF(OR(NOT(ISNUMBER(G115)),G115&lt;0),"Check reported quantity",IF(I115="Accepted",IF(OR(NOT(ISNUMBER(H115)),H115&lt;0,H115&gt;G115),"Check accepted quantity","Recorded"),"Not accepted")))</x:f>
      </x:c>
    </x:row>
    <x:row r="116" ht="60" customHeight="1">
      <x:c r="A116" s="11"/>
      <x:c r="B116" s="11"/>
      <x:c r="C116" s="11"/>
      <x:c r="D116" s="15"/>
      <x:c r="E116" s="11"/>
      <x:c r="F116" s="11"/>
      <x:c r="G116" s="12"/>
      <x:c r="H116" s="12"/>
      <x:c r="I116" s="11"/>
      <x:c r="J116" s="11"/>
      <x:c r="K116" s="11"/>
      <x:c r="L116" s="11"/>
      <x:c r="M116" s="15"/>
      <x:c r="N116" s="14"/>
      <x:c r="O116" s="11"/>
      <x:c r="P116" s="21" t="str">
        <x:f>IF(A116="","",IF(COUNTIFS($A$7:$A$206,A116,$B$7:$B$206,B116)&lt;&gt;1,"Duplicate event ID",IF(I116&lt;&gt;"Accepted","Review pending",IF(OR(J116="",L116="",NOT(ISNUMBER(M116)),M116&lt;=0,NOT(ISNUMBER(D116)),D116&lt;=0),"Missing approval evidence","Recorded - verify authority"))))</x:f>
      </x:c>
      <x:c r="Q116" s="21" t="str">
        <x:f>IF(A116="","",IF(COUNTIFS(WBS!$A$7:$A$206,C116,WBS!$B$7:$B$206,B116,WBS!$D$7:$D$206,F116)=1,"Matched","Check WBS / unit"))</x:f>
      </x:c>
      <x:c r="R116" s="21" t="str">
        <x:f>IF(A116="","",IF(OR(NOT(ISNUMBER(G116)),G116&lt;0),"Check reported quantity",IF(I116="Accepted",IF(OR(NOT(ISNUMBER(H116)),H116&lt;0,H116&gt;G116),"Check accepted quantity","Recorded"),"Not accepted")))</x:f>
      </x:c>
    </x:row>
    <x:row r="117" ht="60" customHeight="1">
      <x:c r="A117" s="11"/>
      <x:c r="B117" s="11"/>
      <x:c r="C117" s="11"/>
      <x:c r="D117" s="15"/>
      <x:c r="E117" s="11"/>
      <x:c r="F117" s="11"/>
      <x:c r="G117" s="12"/>
      <x:c r="H117" s="12"/>
      <x:c r="I117" s="11"/>
      <x:c r="J117" s="11"/>
      <x:c r="K117" s="11"/>
      <x:c r="L117" s="11"/>
      <x:c r="M117" s="15"/>
      <x:c r="N117" s="14"/>
      <x:c r="O117" s="11"/>
      <x:c r="P117" s="21" t="str">
        <x:f>IF(A117="","",IF(COUNTIFS($A$7:$A$206,A117,$B$7:$B$206,B117)&lt;&gt;1,"Duplicate event ID",IF(I117&lt;&gt;"Accepted","Review pending",IF(OR(J117="",L117="",NOT(ISNUMBER(M117)),M117&lt;=0,NOT(ISNUMBER(D117)),D117&lt;=0),"Missing approval evidence","Recorded - verify authority"))))</x:f>
      </x:c>
      <x:c r="Q117" s="21" t="str">
        <x:f>IF(A117="","",IF(COUNTIFS(WBS!$A$7:$A$206,C117,WBS!$B$7:$B$206,B117,WBS!$D$7:$D$206,F117)=1,"Matched","Check WBS / unit"))</x:f>
      </x:c>
      <x:c r="R117" s="21" t="str">
        <x:f>IF(A117="","",IF(OR(NOT(ISNUMBER(G117)),G117&lt;0),"Check reported quantity",IF(I117="Accepted",IF(OR(NOT(ISNUMBER(H117)),H117&lt;0,H117&gt;G117),"Check accepted quantity","Recorded"),"Not accepted")))</x:f>
      </x:c>
    </x:row>
    <x:row r="118" ht="60" customHeight="1">
      <x:c r="A118" s="11"/>
      <x:c r="B118" s="11"/>
      <x:c r="C118" s="11"/>
      <x:c r="D118" s="15"/>
      <x:c r="E118" s="11"/>
      <x:c r="F118" s="11"/>
      <x:c r="G118" s="12"/>
      <x:c r="H118" s="12"/>
      <x:c r="I118" s="11"/>
      <x:c r="J118" s="11"/>
      <x:c r="K118" s="11"/>
      <x:c r="L118" s="11"/>
      <x:c r="M118" s="15"/>
      <x:c r="N118" s="14"/>
      <x:c r="O118" s="11"/>
      <x:c r="P118" s="21" t="str">
        <x:f>IF(A118="","",IF(COUNTIFS($A$7:$A$206,A118,$B$7:$B$206,B118)&lt;&gt;1,"Duplicate event ID",IF(I118&lt;&gt;"Accepted","Review pending",IF(OR(J118="",L118="",NOT(ISNUMBER(M118)),M118&lt;=0,NOT(ISNUMBER(D118)),D118&lt;=0),"Missing approval evidence","Recorded - verify authority"))))</x:f>
      </x:c>
      <x:c r="Q118" s="21" t="str">
        <x:f>IF(A118="","",IF(COUNTIFS(WBS!$A$7:$A$206,C118,WBS!$B$7:$B$206,B118,WBS!$D$7:$D$206,F118)=1,"Matched","Check WBS / unit"))</x:f>
      </x:c>
      <x:c r="R118" s="21" t="str">
        <x:f>IF(A118="","",IF(OR(NOT(ISNUMBER(G118)),G118&lt;0),"Check reported quantity",IF(I118="Accepted",IF(OR(NOT(ISNUMBER(H118)),H118&lt;0,H118&gt;G118),"Check accepted quantity","Recorded"),"Not accepted")))</x:f>
      </x:c>
    </x:row>
    <x:row r="119" ht="60" customHeight="1">
      <x:c r="A119" s="11"/>
      <x:c r="B119" s="11"/>
      <x:c r="C119" s="11"/>
      <x:c r="D119" s="15"/>
      <x:c r="E119" s="11"/>
      <x:c r="F119" s="11"/>
      <x:c r="G119" s="12"/>
      <x:c r="H119" s="12"/>
      <x:c r="I119" s="11"/>
      <x:c r="J119" s="11"/>
      <x:c r="K119" s="11"/>
      <x:c r="L119" s="11"/>
      <x:c r="M119" s="15"/>
      <x:c r="N119" s="14"/>
      <x:c r="O119" s="11"/>
      <x:c r="P119" s="21" t="str">
        <x:f>IF(A119="","",IF(COUNTIFS($A$7:$A$206,A119,$B$7:$B$206,B119)&lt;&gt;1,"Duplicate event ID",IF(I119&lt;&gt;"Accepted","Review pending",IF(OR(J119="",L119="",NOT(ISNUMBER(M119)),M119&lt;=0,NOT(ISNUMBER(D119)),D119&lt;=0),"Missing approval evidence","Recorded - verify authority"))))</x:f>
      </x:c>
      <x:c r="Q119" s="21" t="str">
        <x:f>IF(A119="","",IF(COUNTIFS(WBS!$A$7:$A$206,C119,WBS!$B$7:$B$206,B119,WBS!$D$7:$D$206,F119)=1,"Matched","Check WBS / unit"))</x:f>
      </x:c>
      <x:c r="R119" s="21" t="str">
        <x:f>IF(A119="","",IF(OR(NOT(ISNUMBER(G119)),G119&lt;0),"Check reported quantity",IF(I119="Accepted",IF(OR(NOT(ISNUMBER(H119)),H119&lt;0,H119&gt;G119),"Check accepted quantity","Recorded"),"Not accepted")))</x:f>
      </x:c>
    </x:row>
    <x:row r="120" ht="60" customHeight="1">
      <x:c r="A120" s="11"/>
      <x:c r="B120" s="11"/>
      <x:c r="C120" s="11"/>
      <x:c r="D120" s="15"/>
      <x:c r="E120" s="11"/>
      <x:c r="F120" s="11"/>
      <x:c r="G120" s="12"/>
      <x:c r="H120" s="12"/>
      <x:c r="I120" s="11"/>
      <x:c r="J120" s="11"/>
      <x:c r="K120" s="11"/>
      <x:c r="L120" s="11"/>
      <x:c r="M120" s="15"/>
      <x:c r="N120" s="14"/>
      <x:c r="O120" s="11"/>
      <x:c r="P120" s="21" t="str">
        <x:f>IF(A120="","",IF(COUNTIFS($A$7:$A$206,A120,$B$7:$B$206,B120)&lt;&gt;1,"Duplicate event ID",IF(I120&lt;&gt;"Accepted","Review pending",IF(OR(J120="",L120="",NOT(ISNUMBER(M120)),M120&lt;=0,NOT(ISNUMBER(D120)),D120&lt;=0),"Missing approval evidence","Recorded - verify authority"))))</x:f>
      </x:c>
      <x:c r="Q120" s="21" t="str">
        <x:f>IF(A120="","",IF(COUNTIFS(WBS!$A$7:$A$206,C120,WBS!$B$7:$B$206,B120,WBS!$D$7:$D$206,F120)=1,"Matched","Check WBS / unit"))</x:f>
      </x:c>
      <x:c r="R120" s="21" t="str">
        <x:f>IF(A120="","",IF(OR(NOT(ISNUMBER(G120)),G120&lt;0),"Check reported quantity",IF(I120="Accepted",IF(OR(NOT(ISNUMBER(H120)),H120&lt;0,H120&gt;G120),"Check accepted quantity","Recorded"),"Not accepted")))</x:f>
      </x:c>
    </x:row>
    <x:row r="121" ht="60" customHeight="1">
      <x:c r="A121" s="11"/>
      <x:c r="B121" s="11"/>
      <x:c r="C121" s="11"/>
      <x:c r="D121" s="15"/>
      <x:c r="E121" s="11"/>
      <x:c r="F121" s="11"/>
      <x:c r="G121" s="12"/>
      <x:c r="H121" s="12"/>
      <x:c r="I121" s="11"/>
      <x:c r="J121" s="11"/>
      <x:c r="K121" s="11"/>
      <x:c r="L121" s="11"/>
      <x:c r="M121" s="15"/>
      <x:c r="N121" s="14"/>
      <x:c r="O121" s="11"/>
      <x:c r="P121" s="21" t="str">
        <x:f>IF(A121="","",IF(COUNTIFS($A$7:$A$206,A121,$B$7:$B$206,B121)&lt;&gt;1,"Duplicate event ID",IF(I121&lt;&gt;"Accepted","Review pending",IF(OR(J121="",L121="",NOT(ISNUMBER(M121)),M121&lt;=0,NOT(ISNUMBER(D121)),D121&lt;=0),"Missing approval evidence","Recorded - verify authority"))))</x:f>
      </x:c>
      <x:c r="Q121" s="21" t="str">
        <x:f>IF(A121="","",IF(COUNTIFS(WBS!$A$7:$A$206,C121,WBS!$B$7:$B$206,B121,WBS!$D$7:$D$206,F121)=1,"Matched","Check WBS / unit"))</x:f>
      </x:c>
      <x:c r="R121" s="21" t="str">
        <x:f>IF(A121="","",IF(OR(NOT(ISNUMBER(G121)),G121&lt;0),"Check reported quantity",IF(I121="Accepted",IF(OR(NOT(ISNUMBER(H121)),H121&lt;0,H121&gt;G121),"Check accepted quantity","Recorded"),"Not accepted")))</x:f>
      </x:c>
    </x:row>
    <x:row r="122" ht="60" customHeight="1">
      <x:c r="A122" s="11"/>
      <x:c r="B122" s="11"/>
      <x:c r="C122" s="11"/>
      <x:c r="D122" s="15"/>
      <x:c r="E122" s="11"/>
      <x:c r="F122" s="11"/>
      <x:c r="G122" s="12"/>
      <x:c r="H122" s="12"/>
      <x:c r="I122" s="11"/>
      <x:c r="J122" s="11"/>
      <x:c r="K122" s="11"/>
      <x:c r="L122" s="11"/>
      <x:c r="M122" s="15"/>
      <x:c r="N122" s="14"/>
      <x:c r="O122" s="11"/>
      <x:c r="P122" s="21" t="str">
        <x:f>IF(A122="","",IF(COUNTIFS($A$7:$A$206,A122,$B$7:$B$206,B122)&lt;&gt;1,"Duplicate event ID",IF(I122&lt;&gt;"Accepted","Review pending",IF(OR(J122="",L122="",NOT(ISNUMBER(M122)),M122&lt;=0,NOT(ISNUMBER(D122)),D122&lt;=0),"Missing approval evidence","Recorded - verify authority"))))</x:f>
      </x:c>
      <x:c r="Q122" s="21" t="str">
        <x:f>IF(A122="","",IF(COUNTIFS(WBS!$A$7:$A$206,C122,WBS!$B$7:$B$206,B122,WBS!$D$7:$D$206,F122)=1,"Matched","Check WBS / unit"))</x:f>
      </x:c>
      <x:c r="R122" s="21" t="str">
        <x:f>IF(A122="","",IF(OR(NOT(ISNUMBER(G122)),G122&lt;0),"Check reported quantity",IF(I122="Accepted",IF(OR(NOT(ISNUMBER(H122)),H122&lt;0,H122&gt;G122),"Check accepted quantity","Recorded"),"Not accepted")))</x:f>
      </x:c>
    </x:row>
    <x:row r="123" ht="60" customHeight="1">
      <x:c r="A123" s="11"/>
      <x:c r="B123" s="11"/>
      <x:c r="C123" s="11"/>
      <x:c r="D123" s="15"/>
      <x:c r="E123" s="11"/>
      <x:c r="F123" s="11"/>
      <x:c r="G123" s="12"/>
      <x:c r="H123" s="12"/>
      <x:c r="I123" s="11"/>
      <x:c r="J123" s="11"/>
      <x:c r="K123" s="11"/>
      <x:c r="L123" s="11"/>
      <x:c r="M123" s="15"/>
      <x:c r="N123" s="14"/>
      <x:c r="O123" s="11"/>
      <x:c r="P123" s="21" t="str">
        <x:f>IF(A123="","",IF(COUNTIFS($A$7:$A$206,A123,$B$7:$B$206,B123)&lt;&gt;1,"Duplicate event ID",IF(I123&lt;&gt;"Accepted","Review pending",IF(OR(J123="",L123="",NOT(ISNUMBER(M123)),M123&lt;=0,NOT(ISNUMBER(D123)),D123&lt;=0),"Missing approval evidence","Recorded - verify authority"))))</x:f>
      </x:c>
      <x:c r="Q123" s="21" t="str">
        <x:f>IF(A123="","",IF(COUNTIFS(WBS!$A$7:$A$206,C123,WBS!$B$7:$B$206,B123,WBS!$D$7:$D$206,F123)=1,"Matched","Check WBS / unit"))</x:f>
      </x:c>
      <x:c r="R123" s="21" t="str">
        <x:f>IF(A123="","",IF(OR(NOT(ISNUMBER(G123)),G123&lt;0),"Check reported quantity",IF(I123="Accepted",IF(OR(NOT(ISNUMBER(H123)),H123&lt;0,H123&gt;G123),"Check accepted quantity","Recorded"),"Not accepted")))</x:f>
      </x:c>
    </x:row>
    <x:row r="124" ht="60" customHeight="1">
      <x:c r="A124" s="11"/>
      <x:c r="B124" s="11"/>
      <x:c r="C124" s="11"/>
      <x:c r="D124" s="15"/>
      <x:c r="E124" s="11"/>
      <x:c r="F124" s="11"/>
      <x:c r="G124" s="12"/>
      <x:c r="H124" s="12"/>
      <x:c r="I124" s="11"/>
      <x:c r="J124" s="11"/>
      <x:c r="K124" s="11"/>
      <x:c r="L124" s="11"/>
      <x:c r="M124" s="15"/>
      <x:c r="N124" s="14"/>
      <x:c r="O124" s="11"/>
      <x:c r="P124" s="21" t="str">
        <x:f>IF(A124="","",IF(COUNTIFS($A$7:$A$206,A124,$B$7:$B$206,B124)&lt;&gt;1,"Duplicate event ID",IF(I124&lt;&gt;"Accepted","Review pending",IF(OR(J124="",L124="",NOT(ISNUMBER(M124)),M124&lt;=0,NOT(ISNUMBER(D124)),D124&lt;=0),"Missing approval evidence","Recorded - verify authority"))))</x:f>
      </x:c>
      <x:c r="Q124" s="21" t="str">
        <x:f>IF(A124="","",IF(COUNTIFS(WBS!$A$7:$A$206,C124,WBS!$B$7:$B$206,B124,WBS!$D$7:$D$206,F124)=1,"Matched","Check WBS / unit"))</x:f>
      </x:c>
      <x:c r="R124" s="21" t="str">
        <x:f>IF(A124="","",IF(OR(NOT(ISNUMBER(G124)),G124&lt;0),"Check reported quantity",IF(I124="Accepted",IF(OR(NOT(ISNUMBER(H124)),H124&lt;0,H124&gt;G124),"Check accepted quantity","Recorded"),"Not accepted")))</x:f>
      </x:c>
    </x:row>
    <x:row r="125" ht="60" customHeight="1">
      <x:c r="A125" s="11"/>
      <x:c r="B125" s="11"/>
      <x:c r="C125" s="11"/>
      <x:c r="D125" s="15"/>
      <x:c r="E125" s="11"/>
      <x:c r="F125" s="11"/>
      <x:c r="G125" s="12"/>
      <x:c r="H125" s="12"/>
      <x:c r="I125" s="11"/>
      <x:c r="J125" s="11"/>
      <x:c r="K125" s="11"/>
      <x:c r="L125" s="11"/>
      <x:c r="M125" s="15"/>
      <x:c r="N125" s="14"/>
      <x:c r="O125" s="11"/>
      <x:c r="P125" s="21" t="str">
        <x:f>IF(A125="","",IF(COUNTIFS($A$7:$A$206,A125,$B$7:$B$206,B125)&lt;&gt;1,"Duplicate event ID",IF(I125&lt;&gt;"Accepted","Review pending",IF(OR(J125="",L125="",NOT(ISNUMBER(M125)),M125&lt;=0,NOT(ISNUMBER(D125)),D125&lt;=0),"Missing approval evidence","Recorded - verify authority"))))</x:f>
      </x:c>
      <x:c r="Q125" s="21" t="str">
        <x:f>IF(A125="","",IF(COUNTIFS(WBS!$A$7:$A$206,C125,WBS!$B$7:$B$206,B125,WBS!$D$7:$D$206,F125)=1,"Matched","Check WBS / unit"))</x:f>
      </x:c>
      <x:c r="R125" s="21" t="str">
        <x:f>IF(A125="","",IF(OR(NOT(ISNUMBER(G125)),G125&lt;0),"Check reported quantity",IF(I125="Accepted",IF(OR(NOT(ISNUMBER(H125)),H125&lt;0,H125&gt;G125),"Check accepted quantity","Recorded"),"Not accepted")))</x:f>
      </x:c>
    </x:row>
    <x:row r="126" ht="60" customHeight="1">
      <x:c r="A126" s="11"/>
      <x:c r="B126" s="11"/>
      <x:c r="C126" s="11"/>
      <x:c r="D126" s="15"/>
      <x:c r="E126" s="11"/>
      <x:c r="F126" s="11"/>
      <x:c r="G126" s="12"/>
      <x:c r="H126" s="12"/>
      <x:c r="I126" s="11"/>
      <x:c r="J126" s="11"/>
      <x:c r="K126" s="11"/>
      <x:c r="L126" s="11"/>
      <x:c r="M126" s="15"/>
      <x:c r="N126" s="14"/>
      <x:c r="O126" s="11"/>
      <x:c r="P126" s="21" t="str">
        <x:f>IF(A126="","",IF(COUNTIFS($A$7:$A$206,A126,$B$7:$B$206,B126)&lt;&gt;1,"Duplicate event ID",IF(I126&lt;&gt;"Accepted","Review pending",IF(OR(J126="",L126="",NOT(ISNUMBER(M126)),M126&lt;=0,NOT(ISNUMBER(D126)),D126&lt;=0),"Missing approval evidence","Recorded - verify authority"))))</x:f>
      </x:c>
      <x:c r="Q126" s="21" t="str">
        <x:f>IF(A126="","",IF(COUNTIFS(WBS!$A$7:$A$206,C126,WBS!$B$7:$B$206,B126,WBS!$D$7:$D$206,F126)=1,"Matched","Check WBS / unit"))</x:f>
      </x:c>
      <x:c r="R126" s="21" t="str">
        <x:f>IF(A126="","",IF(OR(NOT(ISNUMBER(G126)),G126&lt;0),"Check reported quantity",IF(I126="Accepted",IF(OR(NOT(ISNUMBER(H126)),H126&lt;0,H126&gt;G126),"Check accepted quantity","Recorded"),"Not accepted")))</x:f>
      </x:c>
    </x:row>
    <x:row r="127" ht="60" customHeight="1">
      <x:c r="A127" s="11"/>
      <x:c r="B127" s="11"/>
      <x:c r="C127" s="11"/>
      <x:c r="D127" s="15"/>
      <x:c r="E127" s="11"/>
      <x:c r="F127" s="11"/>
      <x:c r="G127" s="12"/>
      <x:c r="H127" s="12"/>
      <x:c r="I127" s="11"/>
      <x:c r="J127" s="11"/>
      <x:c r="K127" s="11"/>
      <x:c r="L127" s="11"/>
      <x:c r="M127" s="15"/>
      <x:c r="N127" s="14"/>
      <x:c r="O127" s="11"/>
      <x:c r="P127" s="21" t="str">
        <x:f>IF(A127="","",IF(COUNTIFS($A$7:$A$206,A127,$B$7:$B$206,B127)&lt;&gt;1,"Duplicate event ID",IF(I127&lt;&gt;"Accepted","Review pending",IF(OR(J127="",L127="",NOT(ISNUMBER(M127)),M127&lt;=0,NOT(ISNUMBER(D127)),D127&lt;=0),"Missing approval evidence","Recorded - verify authority"))))</x:f>
      </x:c>
      <x:c r="Q127" s="21" t="str">
        <x:f>IF(A127="","",IF(COUNTIFS(WBS!$A$7:$A$206,C127,WBS!$B$7:$B$206,B127,WBS!$D$7:$D$206,F127)=1,"Matched","Check WBS / unit"))</x:f>
      </x:c>
      <x:c r="R127" s="21" t="str">
        <x:f>IF(A127="","",IF(OR(NOT(ISNUMBER(G127)),G127&lt;0),"Check reported quantity",IF(I127="Accepted",IF(OR(NOT(ISNUMBER(H127)),H127&lt;0,H127&gt;G127),"Check accepted quantity","Recorded"),"Not accepted")))</x:f>
      </x:c>
    </x:row>
    <x:row r="128" ht="60" customHeight="1">
      <x:c r="A128" s="11"/>
      <x:c r="B128" s="11"/>
      <x:c r="C128" s="11"/>
      <x:c r="D128" s="15"/>
      <x:c r="E128" s="11"/>
      <x:c r="F128" s="11"/>
      <x:c r="G128" s="12"/>
      <x:c r="H128" s="12"/>
      <x:c r="I128" s="11"/>
      <x:c r="J128" s="11"/>
      <x:c r="K128" s="11"/>
      <x:c r="L128" s="11"/>
      <x:c r="M128" s="15"/>
      <x:c r="N128" s="14"/>
      <x:c r="O128" s="11"/>
      <x:c r="P128" s="21" t="str">
        <x:f>IF(A128="","",IF(COUNTIFS($A$7:$A$206,A128,$B$7:$B$206,B128)&lt;&gt;1,"Duplicate event ID",IF(I128&lt;&gt;"Accepted","Review pending",IF(OR(J128="",L128="",NOT(ISNUMBER(M128)),M128&lt;=0,NOT(ISNUMBER(D128)),D128&lt;=0),"Missing approval evidence","Recorded - verify authority"))))</x:f>
      </x:c>
      <x:c r="Q128" s="21" t="str">
        <x:f>IF(A128="","",IF(COUNTIFS(WBS!$A$7:$A$206,C128,WBS!$B$7:$B$206,B128,WBS!$D$7:$D$206,F128)=1,"Matched","Check WBS / unit"))</x:f>
      </x:c>
      <x:c r="R128" s="21" t="str">
        <x:f>IF(A128="","",IF(OR(NOT(ISNUMBER(G128)),G128&lt;0),"Check reported quantity",IF(I128="Accepted",IF(OR(NOT(ISNUMBER(H128)),H128&lt;0,H128&gt;G128),"Check accepted quantity","Recorded"),"Not accepted")))</x:f>
      </x:c>
    </x:row>
    <x:row r="129" ht="60" customHeight="1">
      <x:c r="A129" s="11"/>
      <x:c r="B129" s="11"/>
      <x:c r="C129" s="11"/>
      <x:c r="D129" s="15"/>
      <x:c r="E129" s="11"/>
      <x:c r="F129" s="11"/>
      <x:c r="G129" s="12"/>
      <x:c r="H129" s="12"/>
      <x:c r="I129" s="11"/>
      <x:c r="J129" s="11"/>
      <x:c r="K129" s="11"/>
      <x:c r="L129" s="11"/>
      <x:c r="M129" s="15"/>
      <x:c r="N129" s="14"/>
      <x:c r="O129" s="11"/>
      <x:c r="P129" s="21" t="str">
        <x:f>IF(A129="","",IF(COUNTIFS($A$7:$A$206,A129,$B$7:$B$206,B129)&lt;&gt;1,"Duplicate event ID",IF(I129&lt;&gt;"Accepted","Review pending",IF(OR(J129="",L129="",NOT(ISNUMBER(M129)),M129&lt;=0,NOT(ISNUMBER(D129)),D129&lt;=0),"Missing approval evidence","Recorded - verify authority"))))</x:f>
      </x:c>
      <x:c r="Q129" s="21" t="str">
        <x:f>IF(A129="","",IF(COUNTIFS(WBS!$A$7:$A$206,C129,WBS!$B$7:$B$206,B129,WBS!$D$7:$D$206,F129)=1,"Matched","Check WBS / unit"))</x:f>
      </x:c>
      <x:c r="R129" s="21" t="str">
        <x:f>IF(A129="","",IF(OR(NOT(ISNUMBER(G129)),G129&lt;0),"Check reported quantity",IF(I129="Accepted",IF(OR(NOT(ISNUMBER(H129)),H129&lt;0,H129&gt;G129),"Check accepted quantity","Recorded"),"Not accepted")))</x:f>
      </x:c>
    </x:row>
    <x:row r="130" ht="60" customHeight="1">
      <x:c r="A130" s="11"/>
      <x:c r="B130" s="11"/>
      <x:c r="C130" s="11"/>
      <x:c r="D130" s="15"/>
      <x:c r="E130" s="11"/>
      <x:c r="F130" s="11"/>
      <x:c r="G130" s="12"/>
      <x:c r="H130" s="12"/>
      <x:c r="I130" s="11"/>
      <x:c r="J130" s="11"/>
      <x:c r="K130" s="11"/>
      <x:c r="L130" s="11"/>
      <x:c r="M130" s="15"/>
      <x:c r="N130" s="14"/>
      <x:c r="O130" s="11"/>
      <x:c r="P130" s="21" t="str">
        <x:f>IF(A130="","",IF(COUNTIFS($A$7:$A$206,A130,$B$7:$B$206,B130)&lt;&gt;1,"Duplicate event ID",IF(I130&lt;&gt;"Accepted","Review pending",IF(OR(J130="",L130="",NOT(ISNUMBER(M130)),M130&lt;=0,NOT(ISNUMBER(D130)),D130&lt;=0),"Missing approval evidence","Recorded - verify authority"))))</x:f>
      </x:c>
      <x:c r="Q130" s="21" t="str">
        <x:f>IF(A130="","",IF(COUNTIFS(WBS!$A$7:$A$206,C130,WBS!$B$7:$B$206,B130,WBS!$D$7:$D$206,F130)=1,"Matched","Check WBS / unit"))</x:f>
      </x:c>
      <x:c r="R130" s="21" t="str">
        <x:f>IF(A130="","",IF(OR(NOT(ISNUMBER(G130)),G130&lt;0),"Check reported quantity",IF(I130="Accepted",IF(OR(NOT(ISNUMBER(H130)),H130&lt;0,H130&gt;G130),"Check accepted quantity","Recorded"),"Not accepted")))</x:f>
      </x:c>
    </x:row>
    <x:row r="131" ht="60" customHeight="1">
      <x:c r="A131" s="11"/>
      <x:c r="B131" s="11"/>
      <x:c r="C131" s="11"/>
      <x:c r="D131" s="15"/>
      <x:c r="E131" s="11"/>
      <x:c r="F131" s="11"/>
      <x:c r="G131" s="12"/>
      <x:c r="H131" s="12"/>
      <x:c r="I131" s="11"/>
      <x:c r="J131" s="11"/>
      <x:c r="K131" s="11"/>
      <x:c r="L131" s="11"/>
      <x:c r="M131" s="15"/>
      <x:c r="N131" s="14"/>
      <x:c r="O131" s="11"/>
      <x:c r="P131" s="21" t="str">
        <x:f>IF(A131="","",IF(COUNTIFS($A$7:$A$206,A131,$B$7:$B$206,B131)&lt;&gt;1,"Duplicate event ID",IF(I131&lt;&gt;"Accepted","Review pending",IF(OR(J131="",L131="",NOT(ISNUMBER(M131)),M131&lt;=0,NOT(ISNUMBER(D131)),D131&lt;=0),"Missing approval evidence","Recorded - verify authority"))))</x:f>
      </x:c>
      <x:c r="Q131" s="21" t="str">
        <x:f>IF(A131="","",IF(COUNTIFS(WBS!$A$7:$A$206,C131,WBS!$B$7:$B$206,B131,WBS!$D$7:$D$206,F131)=1,"Matched","Check WBS / unit"))</x:f>
      </x:c>
      <x:c r="R131" s="21" t="str">
        <x:f>IF(A131="","",IF(OR(NOT(ISNUMBER(G131)),G131&lt;0),"Check reported quantity",IF(I131="Accepted",IF(OR(NOT(ISNUMBER(H131)),H131&lt;0,H131&gt;G131),"Check accepted quantity","Recorded"),"Not accepted")))</x:f>
      </x:c>
    </x:row>
    <x:row r="132" ht="60" customHeight="1">
      <x:c r="A132" s="11"/>
      <x:c r="B132" s="11"/>
      <x:c r="C132" s="11"/>
      <x:c r="D132" s="15"/>
      <x:c r="E132" s="11"/>
      <x:c r="F132" s="11"/>
      <x:c r="G132" s="12"/>
      <x:c r="H132" s="12"/>
      <x:c r="I132" s="11"/>
      <x:c r="J132" s="11"/>
      <x:c r="K132" s="11"/>
      <x:c r="L132" s="11"/>
      <x:c r="M132" s="15"/>
      <x:c r="N132" s="14"/>
      <x:c r="O132" s="11"/>
      <x:c r="P132" s="21" t="str">
        <x:f>IF(A132="","",IF(COUNTIFS($A$7:$A$206,A132,$B$7:$B$206,B132)&lt;&gt;1,"Duplicate event ID",IF(I132&lt;&gt;"Accepted","Review pending",IF(OR(J132="",L132="",NOT(ISNUMBER(M132)),M132&lt;=0,NOT(ISNUMBER(D132)),D132&lt;=0),"Missing approval evidence","Recorded - verify authority"))))</x:f>
      </x:c>
      <x:c r="Q132" s="21" t="str">
        <x:f>IF(A132="","",IF(COUNTIFS(WBS!$A$7:$A$206,C132,WBS!$B$7:$B$206,B132,WBS!$D$7:$D$206,F132)=1,"Matched","Check WBS / unit"))</x:f>
      </x:c>
      <x:c r="R132" s="21" t="str">
        <x:f>IF(A132="","",IF(OR(NOT(ISNUMBER(G132)),G132&lt;0),"Check reported quantity",IF(I132="Accepted",IF(OR(NOT(ISNUMBER(H132)),H132&lt;0,H132&gt;G132),"Check accepted quantity","Recorded"),"Not accepted")))</x:f>
      </x:c>
    </x:row>
    <x:row r="133" ht="60" customHeight="1">
      <x:c r="A133" s="11"/>
      <x:c r="B133" s="11"/>
      <x:c r="C133" s="11"/>
      <x:c r="D133" s="15"/>
      <x:c r="E133" s="11"/>
      <x:c r="F133" s="11"/>
      <x:c r="G133" s="12"/>
      <x:c r="H133" s="12"/>
      <x:c r="I133" s="11"/>
      <x:c r="J133" s="11"/>
      <x:c r="K133" s="11"/>
      <x:c r="L133" s="11"/>
      <x:c r="M133" s="15"/>
      <x:c r="N133" s="14"/>
      <x:c r="O133" s="11"/>
      <x:c r="P133" s="21" t="str">
        <x:f>IF(A133="","",IF(COUNTIFS($A$7:$A$206,A133,$B$7:$B$206,B133)&lt;&gt;1,"Duplicate event ID",IF(I133&lt;&gt;"Accepted","Review pending",IF(OR(J133="",L133="",NOT(ISNUMBER(M133)),M133&lt;=0,NOT(ISNUMBER(D133)),D133&lt;=0),"Missing approval evidence","Recorded - verify authority"))))</x:f>
      </x:c>
      <x:c r="Q133" s="21" t="str">
        <x:f>IF(A133="","",IF(COUNTIFS(WBS!$A$7:$A$206,C133,WBS!$B$7:$B$206,B133,WBS!$D$7:$D$206,F133)=1,"Matched","Check WBS / unit"))</x:f>
      </x:c>
      <x:c r="R133" s="21" t="str">
        <x:f>IF(A133="","",IF(OR(NOT(ISNUMBER(G133)),G133&lt;0),"Check reported quantity",IF(I133="Accepted",IF(OR(NOT(ISNUMBER(H133)),H133&lt;0,H133&gt;G133),"Check accepted quantity","Recorded"),"Not accepted")))</x:f>
      </x:c>
    </x:row>
    <x:row r="134" ht="60" customHeight="1">
      <x:c r="A134" s="11"/>
      <x:c r="B134" s="11"/>
      <x:c r="C134" s="11"/>
      <x:c r="D134" s="15"/>
      <x:c r="E134" s="11"/>
      <x:c r="F134" s="11"/>
      <x:c r="G134" s="12"/>
      <x:c r="H134" s="12"/>
      <x:c r="I134" s="11"/>
      <x:c r="J134" s="11"/>
      <x:c r="K134" s="11"/>
      <x:c r="L134" s="11"/>
      <x:c r="M134" s="15"/>
      <x:c r="N134" s="14"/>
      <x:c r="O134" s="11"/>
      <x:c r="P134" s="21" t="str">
        <x:f>IF(A134="","",IF(COUNTIFS($A$7:$A$206,A134,$B$7:$B$206,B134)&lt;&gt;1,"Duplicate event ID",IF(I134&lt;&gt;"Accepted","Review pending",IF(OR(J134="",L134="",NOT(ISNUMBER(M134)),M134&lt;=0,NOT(ISNUMBER(D134)),D134&lt;=0),"Missing approval evidence","Recorded - verify authority"))))</x:f>
      </x:c>
      <x:c r="Q134" s="21" t="str">
        <x:f>IF(A134="","",IF(COUNTIFS(WBS!$A$7:$A$206,C134,WBS!$B$7:$B$206,B134,WBS!$D$7:$D$206,F134)=1,"Matched","Check WBS / unit"))</x:f>
      </x:c>
      <x:c r="R134" s="21" t="str">
        <x:f>IF(A134="","",IF(OR(NOT(ISNUMBER(G134)),G134&lt;0),"Check reported quantity",IF(I134="Accepted",IF(OR(NOT(ISNUMBER(H134)),H134&lt;0,H134&gt;G134),"Check accepted quantity","Recorded"),"Not accepted")))</x:f>
      </x:c>
    </x:row>
    <x:row r="135" ht="60" customHeight="1">
      <x:c r="A135" s="11"/>
      <x:c r="B135" s="11"/>
      <x:c r="C135" s="11"/>
      <x:c r="D135" s="15"/>
      <x:c r="E135" s="11"/>
      <x:c r="F135" s="11"/>
      <x:c r="G135" s="12"/>
      <x:c r="H135" s="12"/>
      <x:c r="I135" s="11"/>
      <x:c r="J135" s="11"/>
      <x:c r="K135" s="11"/>
      <x:c r="L135" s="11"/>
      <x:c r="M135" s="15"/>
      <x:c r="N135" s="14"/>
      <x:c r="O135" s="11"/>
      <x:c r="P135" s="21" t="str">
        <x:f>IF(A135="","",IF(COUNTIFS($A$7:$A$206,A135,$B$7:$B$206,B135)&lt;&gt;1,"Duplicate event ID",IF(I135&lt;&gt;"Accepted","Review pending",IF(OR(J135="",L135="",NOT(ISNUMBER(M135)),M135&lt;=0,NOT(ISNUMBER(D135)),D135&lt;=0),"Missing approval evidence","Recorded - verify authority"))))</x:f>
      </x:c>
      <x:c r="Q135" s="21" t="str">
        <x:f>IF(A135="","",IF(COUNTIFS(WBS!$A$7:$A$206,C135,WBS!$B$7:$B$206,B135,WBS!$D$7:$D$206,F135)=1,"Matched","Check WBS / unit"))</x:f>
      </x:c>
      <x:c r="R135" s="21" t="str">
        <x:f>IF(A135="","",IF(OR(NOT(ISNUMBER(G135)),G135&lt;0),"Check reported quantity",IF(I135="Accepted",IF(OR(NOT(ISNUMBER(H135)),H135&lt;0,H135&gt;G135),"Check accepted quantity","Recorded"),"Not accepted")))</x:f>
      </x:c>
    </x:row>
    <x:row r="136" ht="60" customHeight="1">
      <x:c r="A136" s="11"/>
      <x:c r="B136" s="11"/>
      <x:c r="C136" s="11"/>
      <x:c r="D136" s="15"/>
      <x:c r="E136" s="11"/>
      <x:c r="F136" s="11"/>
      <x:c r="G136" s="12"/>
      <x:c r="H136" s="12"/>
      <x:c r="I136" s="11"/>
      <x:c r="J136" s="11"/>
      <x:c r="K136" s="11"/>
      <x:c r="L136" s="11"/>
      <x:c r="M136" s="15"/>
      <x:c r="N136" s="14"/>
      <x:c r="O136" s="11"/>
      <x:c r="P136" s="21" t="str">
        <x:f>IF(A136="","",IF(COUNTIFS($A$7:$A$206,A136,$B$7:$B$206,B136)&lt;&gt;1,"Duplicate event ID",IF(I136&lt;&gt;"Accepted","Review pending",IF(OR(J136="",L136="",NOT(ISNUMBER(M136)),M136&lt;=0,NOT(ISNUMBER(D136)),D136&lt;=0),"Missing approval evidence","Recorded - verify authority"))))</x:f>
      </x:c>
      <x:c r="Q136" s="21" t="str">
        <x:f>IF(A136="","",IF(COUNTIFS(WBS!$A$7:$A$206,C136,WBS!$B$7:$B$206,B136,WBS!$D$7:$D$206,F136)=1,"Matched","Check WBS / unit"))</x:f>
      </x:c>
      <x:c r="R136" s="21" t="str">
        <x:f>IF(A136="","",IF(OR(NOT(ISNUMBER(G136)),G136&lt;0),"Check reported quantity",IF(I136="Accepted",IF(OR(NOT(ISNUMBER(H136)),H136&lt;0,H136&gt;G136),"Check accepted quantity","Recorded"),"Not accepted")))</x:f>
      </x:c>
    </x:row>
    <x:row r="137" ht="60" customHeight="1">
      <x:c r="A137" s="11"/>
      <x:c r="B137" s="11"/>
      <x:c r="C137" s="11"/>
      <x:c r="D137" s="15"/>
      <x:c r="E137" s="11"/>
      <x:c r="F137" s="11"/>
      <x:c r="G137" s="12"/>
      <x:c r="H137" s="12"/>
      <x:c r="I137" s="11"/>
      <x:c r="J137" s="11"/>
      <x:c r="K137" s="11"/>
      <x:c r="L137" s="11"/>
      <x:c r="M137" s="15"/>
      <x:c r="N137" s="14"/>
      <x:c r="O137" s="11"/>
      <x:c r="P137" s="21" t="str">
        <x:f>IF(A137="","",IF(COUNTIFS($A$7:$A$206,A137,$B$7:$B$206,B137)&lt;&gt;1,"Duplicate event ID",IF(I137&lt;&gt;"Accepted","Review pending",IF(OR(J137="",L137="",NOT(ISNUMBER(M137)),M137&lt;=0,NOT(ISNUMBER(D137)),D137&lt;=0),"Missing approval evidence","Recorded - verify authority"))))</x:f>
      </x:c>
      <x:c r="Q137" s="21" t="str">
        <x:f>IF(A137="","",IF(COUNTIFS(WBS!$A$7:$A$206,C137,WBS!$B$7:$B$206,B137,WBS!$D$7:$D$206,F137)=1,"Matched","Check WBS / unit"))</x:f>
      </x:c>
      <x:c r="R137" s="21" t="str">
        <x:f>IF(A137="","",IF(OR(NOT(ISNUMBER(G137)),G137&lt;0),"Check reported quantity",IF(I137="Accepted",IF(OR(NOT(ISNUMBER(H137)),H137&lt;0,H137&gt;G137),"Check accepted quantity","Recorded"),"Not accepted")))</x:f>
      </x:c>
    </x:row>
    <x:row r="138" ht="60" customHeight="1">
      <x:c r="A138" s="11"/>
      <x:c r="B138" s="11"/>
      <x:c r="C138" s="11"/>
      <x:c r="D138" s="15"/>
      <x:c r="E138" s="11"/>
      <x:c r="F138" s="11"/>
      <x:c r="G138" s="12"/>
      <x:c r="H138" s="12"/>
      <x:c r="I138" s="11"/>
      <x:c r="J138" s="11"/>
      <x:c r="K138" s="11"/>
      <x:c r="L138" s="11"/>
      <x:c r="M138" s="15"/>
      <x:c r="N138" s="14"/>
      <x:c r="O138" s="11"/>
      <x:c r="P138" s="21" t="str">
        <x:f>IF(A138="","",IF(COUNTIFS($A$7:$A$206,A138,$B$7:$B$206,B138)&lt;&gt;1,"Duplicate event ID",IF(I138&lt;&gt;"Accepted","Review pending",IF(OR(J138="",L138="",NOT(ISNUMBER(M138)),M138&lt;=0,NOT(ISNUMBER(D138)),D138&lt;=0),"Missing approval evidence","Recorded - verify authority"))))</x:f>
      </x:c>
      <x:c r="Q138" s="21" t="str">
        <x:f>IF(A138="","",IF(COUNTIFS(WBS!$A$7:$A$206,C138,WBS!$B$7:$B$206,B138,WBS!$D$7:$D$206,F138)=1,"Matched","Check WBS / unit"))</x:f>
      </x:c>
      <x:c r="R138" s="21" t="str">
        <x:f>IF(A138="","",IF(OR(NOT(ISNUMBER(G138)),G138&lt;0),"Check reported quantity",IF(I138="Accepted",IF(OR(NOT(ISNUMBER(H138)),H138&lt;0,H138&gt;G138),"Check accepted quantity","Recorded"),"Not accepted")))</x:f>
      </x:c>
    </x:row>
    <x:row r="139" ht="60" customHeight="1">
      <x:c r="A139" s="11"/>
      <x:c r="B139" s="11"/>
      <x:c r="C139" s="11"/>
      <x:c r="D139" s="15"/>
      <x:c r="E139" s="11"/>
      <x:c r="F139" s="11"/>
      <x:c r="G139" s="12"/>
      <x:c r="H139" s="12"/>
      <x:c r="I139" s="11"/>
      <x:c r="J139" s="11"/>
      <x:c r="K139" s="11"/>
      <x:c r="L139" s="11"/>
      <x:c r="M139" s="15"/>
      <x:c r="N139" s="14"/>
      <x:c r="O139" s="11"/>
      <x:c r="P139" s="21" t="str">
        <x:f>IF(A139="","",IF(COUNTIFS($A$7:$A$206,A139,$B$7:$B$206,B139)&lt;&gt;1,"Duplicate event ID",IF(I139&lt;&gt;"Accepted","Review pending",IF(OR(J139="",L139="",NOT(ISNUMBER(M139)),M139&lt;=0,NOT(ISNUMBER(D139)),D139&lt;=0),"Missing approval evidence","Recorded - verify authority"))))</x:f>
      </x:c>
      <x:c r="Q139" s="21" t="str">
        <x:f>IF(A139="","",IF(COUNTIFS(WBS!$A$7:$A$206,C139,WBS!$B$7:$B$206,B139,WBS!$D$7:$D$206,F139)=1,"Matched","Check WBS / unit"))</x:f>
      </x:c>
      <x:c r="R139" s="21" t="str">
        <x:f>IF(A139="","",IF(OR(NOT(ISNUMBER(G139)),G139&lt;0),"Check reported quantity",IF(I139="Accepted",IF(OR(NOT(ISNUMBER(H139)),H139&lt;0,H139&gt;G139),"Check accepted quantity","Recorded"),"Not accepted")))</x:f>
      </x:c>
    </x:row>
    <x:row r="140" ht="60" customHeight="1">
      <x:c r="A140" s="11"/>
      <x:c r="B140" s="11"/>
      <x:c r="C140" s="11"/>
      <x:c r="D140" s="15"/>
      <x:c r="E140" s="11"/>
      <x:c r="F140" s="11"/>
      <x:c r="G140" s="12"/>
      <x:c r="H140" s="12"/>
      <x:c r="I140" s="11"/>
      <x:c r="J140" s="11"/>
      <x:c r="K140" s="11"/>
      <x:c r="L140" s="11"/>
      <x:c r="M140" s="15"/>
      <x:c r="N140" s="14"/>
      <x:c r="O140" s="11"/>
      <x:c r="P140" s="21" t="str">
        <x:f>IF(A140="","",IF(COUNTIFS($A$7:$A$206,A140,$B$7:$B$206,B140)&lt;&gt;1,"Duplicate event ID",IF(I140&lt;&gt;"Accepted","Review pending",IF(OR(J140="",L140="",NOT(ISNUMBER(M140)),M140&lt;=0,NOT(ISNUMBER(D140)),D140&lt;=0),"Missing approval evidence","Recorded - verify authority"))))</x:f>
      </x:c>
      <x:c r="Q140" s="21" t="str">
        <x:f>IF(A140="","",IF(COUNTIFS(WBS!$A$7:$A$206,C140,WBS!$B$7:$B$206,B140,WBS!$D$7:$D$206,F140)=1,"Matched","Check WBS / unit"))</x:f>
      </x:c>
      <x:c r="R140" s="21" t="str">
        <x:f>IF(A140="","",IF(OR(NOT(ISNUMBER(G140)),G140&lt;0),"Check reported quantity",IF(I140="Accepted",IF(OR(NOT(ISNUMBER(H140)),H140&lt;0,H140&gt;G140),"Check accepted quantity","Recorded"),"Not accepted")))</x:f>
      </x:c>
    </x:row>
    <x:row r="141" ht="60" customHeight="1">
      <x:c r="A141" s="11"/>
      <x:c r="B141" s="11"/>
      <x:c r="C141" s="11"/>
      <x:c r="D141" s="15"/>
      <x:c r="E141" s="11"/>
      <x:c r="F141" s="11"/>
      <x:c r="G141" s="12"/>
      <x:c r="H141" s="12"/>
      <x:c r="I141" s="11"/>
      <x:c r="J141" s="11"/>
      <x:c r="K141" s="11"/>
      <x:c r="L141" s="11"/>
      <x:c r="M141" s="15"/>
      <x:c r="N141" s="14"/>
      <x:c r="O141" s="11"/>
      <x:c r="P141" s="21" t="str">
        <x:f>IF(A141="","",IF(COUNTIFS($A$7:$A$206,A141,$B$7:$B$206,B141)&lt;&gt;1,"Duplicate event ID",IF(I141&lt;&gt;"Accepted","Review pending",IF(OR(J141="",L141="",NOT(ISNUMBER(M141)),M141&lt;=0,NOT(ISNUMBER(D141)),D141&lt;=0),"Missing approval evidence","Recorded - verify authority"))))</x:f>
      </x:c>
      <x:c r="Q141" s="21" t="str">
        <x:f>IF(A141="","",IF(COUNTIFS(WBS!$A$7:$A$206,C141,WBS!$B$7:$B$206,B141,WBS!$D$7:$D$206,F141)=1,"Matched","Check WBS / unit"))</x:f>
      </x:c>
      <x:c r="R141" s="21" t="str">
        <x:f>IF(A141="","",IF(OR(NOT(ISNUMBER(G141)),G141&lt;0),"Check reported quantity",IF(I141="Accepted",IF(OR(NOT(ISNUMBER(H141)),H141&lt;0,H141&gt;G141),"Check accepted quantity","Recorded"),"Not accepted")))</x:f>
      </x:c>
    </x:row>
    <x:row r="142" ht="60" customHeight="1">
      <x:c r="A142" s="11"/>
      <x:c r="B142" s="11"/>
      <x:c r="C142" s="11"/>
      <x:c r="D142" s="15"/>
      <x:c r="E142" s="11"/>
      <x:c r="F142" s="11"/>
      <x:c r="G142" s="12"/>
      <x:c r="H142" s="12"/>
      <x:c r="I142" s="11"/>
      <x:c r="J142" s="11"/>
      <x:c r="K142" s="11"/>
      <x:c r="L142" s="11"/>
      <x:c r="M142" s="15"/>
      <x:c r="N142" s="14"/>
      <x:c r="O142" s="11"/>
      <x:c r="P142" s="21" t="str">
        <x:f>IF(A142="","",IF(COUNTIFS($A$7:$A$206,A142,$B$7:$B$206,B142)&lt;&gt;1,"Duplicate event ID",IF(I142&lt;&gt;"Accepted","Review pending",IF(OR(J142="",L142="",NOT(ISNUMBER(M142)),M142&lt;=0,NOT(ISNUMBER(D142)),D142&lt;=0),"Missing approval evidence","Recorded - verify authority"))))</x:f>
      </x:c>
      <x:c r="Q142" s="21" t="str">
        <x:f>IF(A142="","",IF(COUNTIFS(WBS!$A$7:$A$206,C142,WBS!$B$7:$B$206,B142,WBS!$D$7:$D$206,F142)=1,"Matched","Check WBS / unit"))</x:f>
      </x:c>
      <x:c r="R142" s="21" t="str">
        <x:f>IF(A142="","",IF(OR(NOT(ISNUMBER(G142)),G142&lt;0),"Check reported quantity",IF(I142="Accepted",IF(OR(NOT(ISNUMBER(H142)),H142&lt;0,H142&gt;G142),"Check accepted quantity","Recorded"),"Not accepted")))</x:f>
      </x:c>
    </x:row>
    <x:row r="143" ht="60" customHeight="1">
      <x:c r="A143" s="11"/>
      <x:c r="B143" s="11"/>
      <x:c r="C143" s="11"/>
      <x:c r="D143" s="15"/>
      <x:c r="E143" s="11"/>
      <x:c r="F143" s="11"/>
      <x:c r="G143" s="12"/>
      <x:c r="H143" s="12"/>
      <x:c r="I143" s="11"/>
      <x:c r="J143" s="11"/>
      <x:c r="K143" s="11"/>
      <x:c r="L143" s="11"/>
      <x:c r="M143" s="15"/>
      <x:c r="N143" s="14"/>
      <x:c r="O143" s="11"/>
      <x:c r="P143" s="21" t="str">
        <x:f>IF(A143="","",IF(COUNTIFS($A$7:$A$206,A143,$B$7:$B$206,B143)&lt;&gt;1,"Duplicate event ID",IF(I143&lt;&gt;"Accepted","Review pending",IF(OR(J143="",L143="",NOT(ISNUMBER(M143)),M143&lt;=0,NOT(ISNUMBER(D143)),D143&lt;=0),"Missing approval evidence","Recorded - verify authority"))))</x:f>
      </x:c>
      <x:c r="Q143" s="21" t="str">
        <x:f>IF(A143="","",IF(COUNTIFS(WBS!$A$7:$A$206,C143,WBS!$B$7:$B$206,B143,WBS!$D$7:$D$206,F143)=1,"Matched","Check WBS / unit"))</x:f>
      </x:c>
      <x:c r="R143" s="21" t="str">
        <x:f>IF(A143="","",IF(OR(NOT(ISNUMBER(G143)),G143&lt;0),"Check reported quantity",IF(I143="Accepted",IF(OR(NOT(ISNUMBER(H143)),H143&lt;0,H143&gt;G143),"Check accepted quantity","Recorded"),"Not accepted")))</x:f>
      </x:c>
    </x:row>
    <x:row r="144" ht="60" customHeight="1">
      <x:c r="A144" s="11"/>
      <x:c r="B144" s="11"/>
      <x:c r="C144" s="11"/>
      <x:c r="D144" s="15"/>
      <x:c r="E144" s="11"/>
      <x:c r="F144" s="11"/>
      <x:c r="G144" s="12"/>
      <x:c r="H144" s="12"/>
      <x:c r="I144" s="11"/>
      <x:c r="J144" s="11"/>
      <x:c r="K144" s="11"/>
      <x:c r="L144" s="11"/>
      <x:c r="M144" s="15"/>
      <x:c r="N144" s="14"/>
      <x:c r="O144" s="11"/>
      <x:c r="P144" s="21" t="str">
        <x:f>IF(A144="","",IF(COUNTIFS($A$7:$A$206,A144,$B$7:$B$206,B144)&lt;&gt;1,"Duplicate event ID",IF(I144&lt;&gt;"Accepted","Review pending",IF(OR(J144="",L144="",NOT(ISNUMBER(M144)),M144&lt;=0,NOT(ISNUMBER(D144)),D144&lt;=0),"Missing approval evidence","Recorded - verify authority"))))</x:f>
      </x:c>
      <x:c r="Q144" s="21" t="str">
        <x:f>IF(A144="","",IF(COUNTIFS(WBS!$A$7:$A$206,C144,WBS!$B$7:$B$206,B144,WBS!$D$7:$D$206,F144)=1,"Matched","Check WBS / unit"))</x:f>
      </x:c>
      <x:c r="R144" s="21" t="str">
        <x:f>IF(A144="","",IF(OR(NOT(ISNUMBER(G144)),G144&lt;0),"Check reported quantity",IF(I144="Accepted",IF(OR(NOT(ISNUMBER(H144)),H144&lt;0,H144&gt;G144),"Check accepted quantity","Recorded"),"Not accepted")))</x:f>
      </x:c>
    </x:row>
    <x:row r="145" ht="60" customHeight="1">
      <x:c r="A145" s="11"/>
      <x:c r="B145" s="11"/>
      <x:c r="C145" s="11"/>
      <x:c r="D145" s="15"/>
      <x:c r="E145" s="11"/>
      <x:c r="F145" s="11"/>
      <x:c r="G145" s="12"/>
      <x:c r="H145" s="12"/>
      <x:c r="I145" s="11"/>
      <x:c r="J145" s="11"/>
      <x:c r="K145" s="11"/>
      <x:c r="L145" s="11"/>
      <x:c r="M145" s="15"/>
      <x:c r="N145" s="14"/>
      <x:c r="O145" s="11"/>
      <x:c r="P145" s="21" t="str">
        <x:f>IF(A145="","",IF(COUNTIFS($A$7:$A$206,A145,$B$7:$B$206,B145)&lt;&gt;1,"Duplicate event ID",IF(I145&lt;&gt;"Accepted","Review pending",IF(OR(J145="",L145="",NOT(ISNUMBER(M145)),M145&lt;=0,NOT(ISNUMBER(D145)),D145&lt;=0),"Missing approval evidence","Recorded - verify authority"))))</x:f>
      </x:c>
      <x:c r="Q145" s="21" t="str">
        <x:f>IF(A145="","",IF(COUNTIFS(WBS!$A$7:$A$206,C145,WBS!$B$7:$B$206,B145,WBS!$D$7:$D$206,F145)=1,"Matched","Check WBS / unit"))</x:f>
      </x:c>
      <x:c r="R145" s="21" t="str">
        <x:f>IF(A145="","",IF(OR(NOT(ISNUMBER(G145)),G145&lt;0),"Check reported quantity",IF(I145="Accepted",IF(OR(NOT(ISNUMBER(H145)),H145&lt;0,H145&gt;G145),"Check accepted quantity","Recorded"),"Not accepted")))</x:f>
      </x:c>
    </x:row>
    <x:row r="146" ht="60" customHeight="1">
      <x:c r="A146" s="11"/>
      <x:c r="B146" s="11"/>
      <x:c r="C146" s="11"/>
      <x:c r="D146" s="15"/>
      <x:c r="E146" s="11"/>
      <x:c r="F146" s="11"/>
      <x:c r="G146" s="12"/>
      <x:c r="H146" s="12"/>
      <x:c r="I146" s="11"/>
      <x:c r="J146" s="11"/>
      <x:c r="K146" s="11"/>
      <x:c r="L146" s="11"/>
      <x:c r="M146" s="15"/>
      <x:c r="N146" s="14"/>
      <x:c r="O146" s="11"/>
      <x:c r="P146" s="21" t="str">
        <x:f>IF(A146="","",IF(COUNTIFS($A$7:$A$206,A146,$B$7:$B$206,B146)&lt;&gt;1,"Duplicate event ID",IF(I146&lt;&gt;"Accepted","Review pending",IF(OR(J146="",L146="",NOT(ISNUMBER(M146)),M146&lt;=0,NOT(ISNUMBER(D146)),D146&lt;=0),"Missing approval evidence","Recorded - verify authority"))))</x:f>
      </x:c>
      <x:c r="Q146" s="21" t="str">
        <x:f>IF(A146="","",IF(COUNTIFS(WBS!$A$7:$A$206,C146,WBS!$B$7:$B$206,B146,WBS!$D$7:$D$206,F146)=1,"Matched","Check WBS / unit"))</x:f>
      </x:c>
      <x:c r="R146" s="21" t="str">
        <x:f>IF(A146="","",IF(OR(NOT(ISNUMBER(G146)),G146&lt;0),"Check reported quantity",IF(I146="Accepted",IF(OR(NOT(ISNUMBER(H146)),H146&lt;0,H146&gt;G146),"Check accepted quantity","Recorded"),"Not accepted")))</x:f>
      </x:c>
    </x:row>
    <x:row r="147" ht="60" customHeight="1">
      <x:c r="A147" s="11"/>
      <x:c r="B147" s="11"/>
      <x:c r="C147" s="11"/>
      <x:c r="D147" s="15"/>
      <x:c r="E147" s="11"/>
      <x:c r="F147" s="11"/>
      <x:c r="G147" s="12"/>
      <x:c r="H147" s="12"/>
      <x:c r="I147" s="11"/>
      <x:c r="J147" s="11"/>
      <x:c r="K147" s="11"/>
      <x:c r="L147" s="11"/>
      <x:c r="M147" s="15"/>
      <x:c r="N147" s="14"/>
      <x:c r="O147" s="11"/>
      <x:c r="P147" s="21" t="str">
        <x:f>IF(A147="","",IF(COUNTIFS($A$7:$A$206,A147,$B$7:$B$206,B147)&lt;&gt;1,"Duplicate event ID",IF(I147&lt;&gt;"Accepted","Review pending",IF(OR(J147="",L147="",NOT(ISNUMBER(M147)),M147&lt;=0,NOT(ISNUMBER(D147)),D147&lt;=0),"Missing approval evidence","Recorded - verify authority"))))</x:f>
      </x:c>
      <x:c r="Q147" s="21" t="str">
        <x:f>IF(A147="","",IF(COUNTIFS(WBS!$A$7:$A$206,C147,WBS!$B$7:$B$206,B147,WBS!$D$7:$D$206,F147)=1,"Matched","Check WBS / unit"))</x:f>
      </x:c>
      <x:c r="R147" s="21" t="str">
        <x:f>IF(A147="","",IF(OR(NOT(ISNUMBER(G147)),G147&lt;0),"Check reported quantity",IF(I147="Accepted",IF(OR(NOT(ISNUMBER(H147)),H147&lt;0,H147&gt;G147),"Check accepted quantity","Recorded"),"Not accepted")))</x:f>
      </x:c>
    </x:row>
    <x:row r="148" ht="60" customHeight="1">
      <x:c r="A148" s="11"/>
      <x:c r="B148" s="11"/>
      <x:c r="C148" s="11"/>
      <x:c r="D148" s="15"/>
      <x:c r="E148" s="11"/>
      <x:c r="F148" s="11"/>
      <x:c r="G148" s="12"/>
      <x:c r="H148" s="12"/>
      <x:c r="I148" s="11"/>
      <x:c r="J148" s="11"/>
      <x:c r="K148" s="11"/>
      <x:c r="L148" s="11"/>
      <x:c r="M148" s="15"/>
      <x:c r="N148" s="14"/>
      <x:c r="O148" s="11"/>
      <x:c r="P148" s="21" t="str">
        <x:f>IF(A148="","",IF(COUNTIFS($A$7:$A$206,A148,$B$7:$B$206,B148)&lt;&gt;1,"Duplicate event ID",IF(I148&lt;&gt;"Accepted","Review pending",IF(OR(J148="",L148="",NOT(ISNUMBER(M148)),M148&lt;=0,NOT(ISNUMBER(D148)),D148&lt;=0),"Missing approval evidence","Recorded - verify authority"))))</x:f>
      </x:c>
      <x:c r="Q148" s="21" t="str">
        <x:f>IF(A148="","",IF(COUNTIFS(WBS!$A$7:$A$206,C148,WBS!$B$7:$B$206,B148,WBS!$D$7:$D$206,F148)=1,"Matched","Check WBS / unit"))</x:f>
      </x:c>
      <x:c r="R148" s="21" t="str">
        <x:f>IF(A148="","",IF(OR(NOT(ISNUMBER(G148)),G148&lt;0),"Check reported quantity",IF(I148="Accepted",IF(OR(NOT(ISNUMBER(H148)),H148&lt;0,H148&gt;G148),"Check accepted quantity","Recorded"),"Not accepted")))</x:f>
      </x:c>
    </x:row>
    <x:row r="149" ht="60" customHeight="1">
      <x:c r="A149" s="11"/>
      <x:c r="B149" s="11"/>
      <x:c r="C149" s="11"/>
      <x:c r="D149" s="15"/>
      <x:c r="E149" s="11"/>
      <x:c r="F149" s="11"/>
      <x:c r="G149" s="12"/>
      <x:c r="H149" s="12"/>
      <x:c r="I149" s="11"/>
      <x:c r="J149" s="11"/>
      <x:c r="K149" s="11"/>
      <x:c r="L149" s="11"/>
      <x:c r="M149" s="15"/>
      <x:c r="N149" s="14"/>
      <x:c r="O149" s="11"/>
      <x:c r="P149" s="21" t="str">
        <x:f>IF(A149="","",IF(COUNTIFS($A$7:$A$206,A149,$B$7:$B$206,B149)&lt;&gt;1,"Duplicate event ID",IF(I149&lt;&gt;"Accepted","Review pending",IF(OR(J149="",L149="",NOT(ISNUMBER(M149)),M149&lt;=0,NOT(ISNUMBER(D149)),D149&lt;=0),"Missing approval evidence","Recorded - verify authority"))))</x:f>
      </x:c>
      <x:c r="Q149" s="21" t="str">
        <x:f>IF(A149="","",IF(COUNTIFS(WBS!$A$7:$A$206,C149,WBS!$B$7:$B$206,B149,WBS!$D$7:$D$206,F149)=1,"Matched","Check WBS / unit"))</x:f>
      </x:c>
      <x:c r="R149" s="21" t="str">
        <x:f>IF(A149="","",IF(OR(NOT(ISNUMBER(G149)),G149&lt;0),"Check reported quantity",IF(I149="Accepted",IF(OR(NOT(ISNUMBER(H149)),H149&lt;0,H149&gt;G149),"Check accepted quantity","Recorded"),"Not accepted")))</x:f>
      </x:c>
    </x:row>
    <x:row r="150" ht="60" customHeight="1">
      <x:c r="A150" s="11"/>
      <x:c r="B150" s="11"/>
      <x:c r="C150" s="11"/>
      <x:c r="D150" s="15"/>
      <x:c r="E150" s="11"/>
      <x:c r="F150" s="11"/>
      <x:c r="G150" s="12"/>
      <x:c r="H150" s="12"/>
      <x:c r="I150" s="11"/>
      <x:c r="J150" s="11"/>
      <x:c r="K150" s="11"/>
      <x:c r="L150" s="11"/>
      <x:c r="M150" s="15"/>
      <x:c r="N150" s="14"/>
      <x:c r="O150" s="11"/>
      <x:c r="P150" s="21" t="str">
        <x:f>IF(A150="","",IF(COUNTIFS($A$7:$A$206,A150,$B$7:$B$206,B150)&lt;&gt;1,"Duplicate event ID",IF(I150&lt;&gt;"Accepted","Review pending",IF(OR(J150="",L150="",NOT(ISNUMBER(M150)),M150&lt;=0,NOT(ISNUMBER(D150)),D150&lt;=0),"Missing approval evidence","Recorded - verify authority"))))</x:f>
      </x:c>
      <x:c r="Q150" s="21" t="str">
        <x:f>IF(A150="","",IF(COUNTIFS(WBS!$A$7:$A$206,C150,WBS!$B$7:$B$206,B150,WBS!$D$7:$D$206,F150)=1,"Matched","Check WBS / unit"))</x:f>
      </x:c>
      <x:c r="R150" s="21" t="str">
        <x:f>IF(A150="","",IF(OR(NOT(ISNUMBER(G150)),G150&lt;0),"Check reported quantity",IF(I150="Accepted",IF(OR(NOT(ISNUMBER(H150)),H150&lt;0,H150&gt;G150),"Check accepted quantity","Recorded"),"Not accepted")))</x:f>
      </x:c>
    </x:row>
    <x:row r="151" ht="60" customHeight="1">
      <x:c r="A151" s="11"/>
      <x:c r="B151" s="11"/>
      <x:c r="C151" s="11"/>
      <x:c r="D151" s="15"/>
      <x:c r="E151" s="11"/>
      <x:c r="F151" s="11"/>
      <x:c r="G151" s="12"/>
      <x:c r="H151" s="12"/>
      <x:c r="I151" s="11"/>
      <x:c r="J151" s="11"/>
      <x:c r="K151" s="11"/>
      <x:c r="L151" s="11"/>
      <x:c r="M151" s="15"/>
      <x:c r="N151" s="14"/>
      <x:c r="O151" s="11"/>
      <x:c r="P151" s="21" t="str">
        <x:f>IF(A151="","",IF(COUNTIFS($A$7:$A$206,A151,$B$7:$B$206,B151)&lt;&gt;1,"Duplicate event ID",IF(I151&lt;&gt;"Accepted","Review pending",IF(OR(J151="",L151="",NOT(ISNUMBER(M151)),M151&lt;=0,NOT(ISNUMBER(D151)),D151&lt;=0),"Missing approval evidence","Recorded - verify authority"))))</x:f>
      </x:c>
      <x:c r="Q151" s="21" t="str">
        <x:f>IF(A151="","",IF(COUNTIFS(WBS!$A$7:$A$206,C151,WBS!$B$7:$B$206,B151,WBS!$D$7:$D$206,F151)=1,"Matched","Check WBS / unit"))</x:f>
      </x:c>
      <x:c r="R151" s="21" t="str">
        <x:f>IF(A151="","",IF(OR(NOT(ISNUMBER(G151)),G151&lt;0),"Check reported quantity",IF(I151="Accepted",IF(OR(NOT(ISNUMBER(H151)),H151&lt;0,H151&gt;G151),"Check accepted quantity","Recorded"),"Not accepted")))</x:f>
      </x:c>
    </x:row>
    <x:row r="152" ht="60" customHeight="1">
      <x:c r="A152" s="11"/>
      <x:c r="B152" s="11"/>
      <x:c r="C152" s="11"/>
      <x:c r="D152" s="15"/>
      <x:c r="E152" s="11"/>
      <x:c r="F152" s="11"/>
      <x:c r="G152" s="12"/>
      <x:c r="H152" s="12"/>
      <x:c r="I152" s="11"/>
      <x:c r="J152" s="11"/>
      <x:c r="K152" s="11"/>
      <x:c r="L152" s="11"/>
      <x:c r="M152" s="15"/>
      <x:c r="N152" s="14"/>
      <x:c r="O152" s="11"/>
      <x:c r="P152" s="21" t="str">
        <x:f>IF(A152="","",IF(COUNTIFS($A$7:$A$206,A152,$B$7:$B$206,B152)&lt;&gt;1,"Duplicate event ID",IF(I152&lt;&gt;"Accepted","Review pending",IF(OR(J152="",L152="",NOT(ISNUMBER(M152)),M152&lt;=0,NOT(ISNUMBER(D152)),D152&lt;=0),"Missing approval evidence","Recorded - verify authority"))))</x:f>
      </x:c>
      <x:c r="Q152" s="21" t="str">
        <x:f>IF(A152="","",IF(COUNTIFS(WBS!$A$7:$A$206,C152,WBS!$B$7:$B$206,B152,WBS!$D$7:$D$206,F152)=1,"Matched","Check WBS / unit"))</x:f>
      </x:c>
      <x:c r="R152" s="21" t="str">
        <x:f>IF(A152="","",IF(OR(NOT(ISNUMBER(G152)),G152&lt;0),"Check reported quantity",IF(I152="Accepted",IF(OR(NOT(ISNUMBER(H152)),H152&lt;0,H152&gt;G152),"Check accepted quantity","Recorded"),"Not accepted")))</x:f>
      </x:c>
    </x:row>
    <x:row r="153" ht="60" customHeight="1">
      <x:c r="A153" s="11"/>
      <x:c r="B153" s="11"/>
      <x:c r="C153" s="11"/>
      <x:c r="D153" s="15"/>
      <x:c r="E153" s="11"/>
      <x:c r="F153" s="11"/>
      <x:c r="G153" s="12"/>
      <x:c r="H153" s="12"/>
      <x:c r="I153" s="11"/>
      <x:c r="J153" s="11"/>
      <x:c r="K153" s="11"/>
      <x:c r="L153" s="11"/>
      <x:c r="M153" s="15"/>
      <x:c r="N153" s="14"/>
      <x:c r="O153" s="11"/>
      <x:c r="P153" s="21" t="str">
        <x:f>IF(A153="","",IF(COUNTIFS($A$7:$A$206,A153,$B$7:$B$206,B153)&lt;&gt;1,"Duplicate event ID",IF(I153&lt;&gt;"Accepted","Review pending",IF(OR(J153="",L153="",NOT(ISNUMBER(M153)),M153&lt;=0,NOT(ISNUMBER(D153)),D153&lt;=0),"Missing approval evidence","Recorded - verify authority"))))</x:f>
      </x:c>
      <x:c r="Q153" s="21" t="str">
        <x:f>IF(A153="","",IF(COUNTIFS(WBS!$A$7:$A$206,C153,WBS!$B$7:$B$206,B153,WBS!$D$7:$D$206,F153)=1,"Matched","Check WBS / unit"))</x:f>
      </x:c>
      <x:c r="R153" s="21" t="str">
        <x:f>IF(A153="","",IF(OR(NOT(ISNUMBER(G153)),G153&lt;0),"Check reported quantity",IF(I153="Accepted",IF(OR(NOT(ISNUMBER(H153)),H153&lt;0,H153&gt;G153),"Check accepted quantity","Recorded"),"Not accepted")))</x:f>
      </x:c>
    </x:row>
    <x:row r="154" ht="60" customHeight="1">
      <x:c r="A154" s="11"/>
      <x:c r="B154" s="11"/>
      <x:c r="C154" s="11"/>
      <x:c r="D154" s="15"/>
      <x:c r="E154" s="11"/>
      <x:c r="F154" s="11"/>
      <x:c r="G154" s="12"/>
      <x:c r="H154" s="12"/>
      <x:c r="I154" s="11"/>
      <x:c r="J154" s="11"/>
      <x:c r="K154" s="11"/>
      <x:c r="L154" s="11"/>
      <x:c r="M154" s="15"/>
      <x:c r="N154" s="14"/>
      <x:c r="O154" s="11"/>
      <x:c r="P154" s="21" t="str">
        <x:f>IF(A154="","",IF(COUNTIFS($A$7:$A$206,A154,$B$7:$B$206,B154)&lt;&gt;1,"Duplicate event ID",IF(I154&lt;&gt;"Accepted","Review pending",IF(OR(J154="",L154="",NOT(ISNUMBER(M154)),M154&lt;=0,NOT(ISNUMBER(D154)),D154&lt;=0),"Missing approval evidence","Recorded - verify authority"))))</x:f>
      </x:c>
      <x:c r="Q154" s="21" t="str">
        <x:f>IF(A154="","",IF(COUNTIFS(WBS!$A$7:$A$206,C154,WBS!$B$7:$B$206,B154,WBS!$D$7:$D$206,F154)=1,"Matched","Check WBS / unit"))</x:f>
      </x:c>
      <x:c r="R154" s="21" t="str">
        <x:f>IF(A154="","",IF(OR(NOT(ISNUMBER(G154)),G154&lt;0),"Check reported quantity",IF(I154="Accepted",IF(OR(NOT(ISNUMBER(H154)),H154&lt;0,H154&gt;G154),"Check accepted quantity","Recorded"),"Not accepted")))</x:f>
      </x:c>
    </x:row>
    <x:row r="155" ht="60" customHeight="1">
      <x:c r="A155" s="11"/>
      <x:c r="B155" s="11"/>
      <x:c r="C155" s="11"/>
      <x:c r="D155" s="15"/>
      <x:c r="E155" s="11"/>
      <x:c r="F155" s="11"/>
      <x:c r="G155" s="12"/>
      <x:c r="H155" s="12"/>
      <x:c r="I155" s="11"/>
      <x:c r="J155" s="11"/>
      <x:c r="K155" s="11"/>
      <x:c r="L155" s="11"/>
      <x:c r="M155" s="15"/>
      <x:c r="N155" s="14"/>
      <x:c r="O155" s="11"/>
      <x:c r="P155" s="21" t="str">
        <x:f>IF(A155="","",IF(COUNTIFS($A$7:$A$206,A155,$B$7:$B$206,B155)&lt;&gt;1,"Duplicate event ID",IF(I155&lt;&gt;"Accepted","Review pending",IF(OR(J155="",L155="",NOT(ISNUMBER(M155)),M155&lt;=0,NOT(ISNUMBER(D155)),D155&lt;=0),"Missing approval evidence","Recorded - verify authority"))))</x:f>
      </x:c>
      <x:c r="Q155" s="21" t="str">
        <x:f>IF(A155="","",IF(COUNTIFS(WBS!$A$7:$A$206,C155,WBS!$B$7:$B$206,B155,WBS!$D$7:$D$206,F155)=1,"Matched","Check WBS / unit"))</x:f>
      </x:c>
      <x:c r="R155" s="21" t="str">
        <x:f>IF(A155="","",IF(OR(NOT(ISNUMBER(G155)),G155&lt;0),"Check reported quantity",IF(I155="Accepted",IF(OR(NOT(ISNUMBER(H155)),H155&lt;0,H155&gt;G155),"Check accepted quantity","Recorded"),"Not accepted")))</x:f>
      </x:c>
    </x:row>
    <x:row r="156" ht="60" customHeight="1">
      <x:c r="A156" s="11"/>
      <x:c r="B156" s="11"/>
      <x:c r="C156" s="11"/>
      <x:c r="D156" s="15"/>
      <x:c r="E156" s="11"/>
      <x:c r="F156" s="11"/>
      <x:c r="G156" s="12"/>
      <x:c r="H156" s="12"/>
      <x:c r="I156" s="11"/>
      <x:c r="J156" s="11"/>
      <x:c r="K156" s="11"/>
      <x:c r="L156" s="11"/>
      <x:c r="M156" s="15"/>
      <x:c r="N156" s="14"/>
      <x:c r="O156" s="11"/>
      <x:c r="P156" s="21" t="str">
        <x:f>IF(A156="","",IF(COUNTIFS($A$7:$A$206,A156,$B$7:$B$206,B156)&lt;&gt;1,"Duplicate event ID",IF(I156&lt;&gt;"Accepted","Review pending",IF(OR(J156="",L156="",NOT(ISNUMBER(M156)),M156&lt;=0,NOT(ISNUMBER(D156)),D156&lt;=0),"Missing approval evidence","Recorded - verify authority"))))</x:f>
      </x:c>
      <x:c r="Q156" s="21" t="str">
        <x:f>IF(A156="","",IF(COUNTIFS(WBS!$A$7:$A$206,C156,WBS!$B$7:$B$206,B156,WBS!$D$7:$D$206,F156)=1,"Matched","Check WBS / unit"))</x:f>
      </x:c>
      <x:c r="R156" s="21" t="str">
        <x:f>IF(A156="","",IF(OR(NOT(ISNUMBER(G156)),G156&lt;0),"Check reported quantity",IF(I156="Accepted",IF(OR(NOT(ISNUMBER(H156)),H156&lt;0,H156&gt;G156),"Check accepted quantity","Recorded"),"Not accepted")))</x:f>
      </x:c>
    </x:row>
    <x:row r="157" ht="60" customHeight="1">
      <x:c r="A157" s="11"/>
      <x:c r="B157" s="11"/>
      <x:c r="C157" s="11"/>
      <x:c r="D157" s="15"/>
      <x:c r="E157" s="11"/>
      <x:c r="F157" s="11"/>
      <x:c r="G157" s="12"/>
      <x:c r="H157" s="12"/>
      <x:c r="I157" s="11"/>
      <x:c r="J157" s="11"/>
      <x:c r="K157" s="11"/>
      <x:c r="L157" s="11"/>
      <x:c r="M157" s="15"/>
      <x:c r="N157" s="14"/>
      <x:c r="O157" s="11"/>
      <x:c r="P157" s="21" t="str">
        <x:f>IF(A157="","",IF(COUNTIFS($A$7:$A$206,A157,$B$7:$B$206,B157)&lt;&gt;1,"Duplicate event ID",IF(I157&lt;&gt;"Accepted","Review pending",IF(OR(J157="",L157="",NOT(ISNUMBER(M157)),M157&lt;=0,NOT(ISNUMBER(D157)),D157&lt;=0),"Missing approval evidence","Recorded - verify authority"))))</x:f>
      </x:c>
      <x:c r="Q157" s="21" t="str">
        <x:f>IF(A157="","",IF(COUNTIFS(WBS!$A$7:$A$206,C157,WBS!$B$7:$B$206,B157,WBS!$D$7:$D$206,F157)=1,"Matched","Check WBS / unit"))</x:f>
      </x:c>
      <x:c r="R157" s="21" t="str">
        <x:f>IF(A157="","",IF(OR(NOT(ISNUMBER(G157)),G157&lt;0),"Check reported quantity",IF(I157="Accepted",IF(OR(NOT(ISNUMBER(H157)),H157&lt;0,H157&gt;G157),"Check accepted quantity","Recorded"),"Not accepted")))</x:f>
      </x:c>
    </x:row>
    <x:row r="158" ht="60" customHeight="1">
      <x:c r="A158" s="11"/>
      <x:c r="B158" s="11"/>
      <x:c r="C158" s="11"/>
      <x:c r="D158" s="15"/>
      <x:c r="E158" s="11"/>
      <x:c r="F158" s="11"/>
      <x:c r="G158" s="12"/>
      <x:c r="H158" s="12"/>
      <x:c r="I158" s="11"/>
      <x:c r="J158" s="11"/>
      <x:c r="K158" s="11"/>
      <x:c r="L158" s="11"/>
      <x:c r="M158" s="15"/>
      <x:c r="N158" s="14"/>
      <x:c r="O158" s="11"/>
      <x:c r="P158" s="21" t="str">
        <x:f>IF(A158="","",IF(COUNTIFS($A$7:$A$206,A158,$B$7:$B$206,B158)&lt;&gt;1,"Duplicate event ID",IF(I158&lt;&gt;"Accepted","Review pending",IF(OR(J158="",L158="",NOT(ISNUMBER(M158)),M158&lt;=0,NOT(ISNUMBER(D158)),D158&lt;=0),"Missing approval evidence","Recorded - verify authority"))))</x:f>
      </x:c>
      <x:c r="Q158" s="21" t="str">
        <x:f>IF(A158="","",IF(COUNTIFS(WBS!$A$7:$A$206,C158,WBS!$B$7:$B$206,B158,WBS!$D$7:$D$206,F158)=1,"Matched","Check WBS / unit"))</x:f>
      </x:c>
      <x:c r="R158" s="21" t="str">
        <x:f>IF(A158="","",IF(OR(NOT(ISNUMBER(G158)),G158&lt;0),"Check reported quantity",IF(I158="Accepted",IF(OR(NOT(ISNUMBER(H158)),H158&lt;0,H158&gt;G158),"Check accepted quantity","Recorded"),"Not accepted")))</x:f>
      </x:c>
    </x:row>
    <x:row r="159" ht="60" customHeight="1">
      <x:c r="A159" s="11"/>
      <x:c r="B159" s="11"/>
      <x:c r="C159" s="11"/>
      <x:c r="D159" s="15"/>
      <x:c r="E159" s="11"/>
      <x:c r="F159" s="11"/>
      <x:c r="G159" s="12"/>
      <x:c r="H159" s="12"/>
      <x:c r="I159" s="11"/>
      <x:c r="J159" s="11"/>
      <x:c r="K159" s="11"/>
      <x:c r="L159" s="11"/>
      <x:c r="M159" s="15"/>
      <x:c r="N159" s="14"/>
      <x:c r="O159" s="11"/>
      <x:c r="P159" s="21" t="str">
        <x:f>IF(A159="","",IF(COUNTIFS($A$7:$A$206,A159,$B$7:$B$206,B159)&lt;&gt;1,"Duplicate event ID",IF(I159&lt;&gt;"Accepted","Review pending",IF(OR(J159="",L159="",NOT(ISNUMBER(M159)),M159&lt;=0,NOT(ISNUMBER(D159)),D159&lt;=0),"Missing approval evidence","Recorded - verify authority"))))</x:f>
      </x:c>
      <x:c r="Q159" s="21" t="str">
        <x:f>IF(A159="","",IF(COUNTIFS(WBS!$A$7:$A$206,C159,WBS!$B$7:$B$206,B159,WBS!$D$7:$D$206,F159)=1,"Matched","Check WBS / unit"))</x:f>
      </x:c>
      <x:c r="R159" s="21" t="str">
        <x:f>IF(A159="","",IF(OR(NOT(ISNUMBER(G159)),G159&lt;0),"Check reported quantity",IF(I159="Accepted",IF(OR(NOT(ISNUMBER(H159)),H159&lt;0,H159&gt;G159),"Check accepted quantity","Recorded"),"Not accepted")))</x:f>
      </x:c>
    </x:row>
    <x:row r="160" ht="60" customHeight="1">
      <x:c r="A160" s="11"/>
      <x:c r="B160" s="11"/>
      <x:c r="C160" s="11"/>
      <x:c r="D160" s="15"/>
      <x:c r="E160" s="11"/>
      <x:c r="F160" s="11"/>
      <x:c r="G160" s="12"/>
      <x:c r="H160" s="12"/>
      <x:c r="I160" s="11"/>
      <x:c r="J160" s="11"/>
      <x:c r="K160" s="11"/>
      <x:c r="L160" s="11"/>
      <x:c r="M160" s="15"/>
      <x:c r="N160" s="14"/>
      <x:c r="O160" s="11"/>
      <x:c r="P160" s="21" t="str">
        <x:f>IF(A160="","",IF(COUNTIFS($A$7:$A$206,A160,$B$7:$B$206,B160)&lt;&gt;1,"Duplicate event ID",IF(I160&lt;&gt;"Accepted","Review pending",IF(OR(J160="",L160="",NOT(ISNUMBER(M160)),M160&lt;=0,NOT(ISNUMBER(D160)),D160&lt;=0),"Missing approval evidence","Recorded - verify authority"))))</x:f>
      </x:c>
      <x:c r="Q160" s="21" t="str">
        <x:f>IF(A160="","",IF(COUNTIFS(WBS!$A$7:$A$206,C160,WBS!$B$7:$B$206,B160,WBS!$D$7:$D$206,F160)=1,"Matched","Check WBS / unit"))</x:f>
      </x:c>
      <x:c r="R160" s="21" t="str">
        <x:f>IF(A160="","",IF(OR(NOT(ISNUMBER(G160)),G160&lt;0),"Check reported quantity",IF(I160="Accepted",IF(OR(NOT(ISNUMBER(H160)),H160&lt;0,H160&gt;G160),"Check accepted quantity","Recorded"),"Not accepted")))</x:f>
      </x:c>
    </x:row>
    <x:row r="161" ht="60" customHeight="1">
      <x:c r="A161" s="11"/>
      <x:c r="B161" s="11"/>
      <x:c r="C161" s="11"/>
      <x:c r="D161" s="15"/>
      <x:c r="E161" s="11"/>
      <x:c r="F161" s="11"/>
      <x:c r="G161" s="12"/>
      <x:c r="H161" s="12"/>
      <x:c r="I161" s="11"/>
      <x:c r="J161" s="11"/>
      <x:c r="K161" s="11"/>
      <x:c r="L161" s="11"/>
      <x:c r="M161" s="15"/>
      <x:c r="N161" s="14"/>
      <x:c r="O161" s="11"/>
      <x:c r="P161" s="21" t="str">
        <x:f>IF(A161="","",IF(COUNTIFS($A$7:$A$206,A161,$B$7:$B$206,B161)&lt;&gt;1,"Duplicate event ID",IF(I161&lt;&gt;"Accepted","Review pending",IF(OR(J161="",L161="",NOT(ISNUMBER(M161)),M161&lt;=0,NOT(ISNUMBER(D161)),D161&lt;=0),"Missing approval evidence","Recorded - verify authority"))))</x:f>
      </x:c>
      <x:c r="Q161" s="21" t="str">
        <x:f>IF(A161="","",IF(COUNTIFS(WBS!$A$7:$A$206,C161,WBS!$B$7:$B$206,B161,WBS!$D$7:$D$206,F161)=1,"Matched","Check WBS / unit"))</x:f>
      </x:c>
      <x:c r="R161" s="21" t="str">
        <x:f>IF(A161="","",IF(OR(NOT(ISNUMBER(G161)),G161&lt;0),"Check reported quantity",IF(I161="Accepted",IF(OR(NOT(ISNUMBER(H161)),H161&lt;0,H161&gt;G161),"Check accepted quantity","Recorded"),"Not accepted")))</x:f>
      </x:c>
    </x:row>
    <x:row r="162" ht="60" customHeight="1">
      <x:c r="A162" s="11"/>
      <x:c r="B162" s="11"/>
      <x:c r="C162" s="11"/>
      <x:c r="D162" s="15"/>
      <x:c r="E162" s="11"/>
      <x:c r="F162" s="11"/>
      <x:c r="G162" s="12"/>
      <x:c r="H162" s="12"/>
      <x:c r="I162" s="11"/>
      <x:c r="J162" s="11"/>
      <x:c r="K162" s="11"/>
      <x:c r="L162" s="11"/>
      <x:c r="M162" s="15"/>
      <x:c r="N162" s="14"/>
      <x:c r="O162" s="11"/>
      <x:c r="P162" s="21" t="str">
        <x:f>IF(A162="","",IF(COUNTIFS($A$7:$A$206,A162,$B$7:$B$206,B162)&lt;&gt;1,"Duplicate event ID",IF(I162&lt;&gt;"Accepted","Review pending",IF(OR(J162="",L162="",NOT(ISNUMBER(M162)),M162&lt;=0,NOT(ISNUMBER(D162)),D162&lt;=0),"Missing approval evidence","Recorded - verify authority"))))</x:f>
      </x:c>
      <x:c r="Q162" s="21" t="str">
        <x:f>IF(A162="","",IF(COUNTIFS(WBS!$A$7:$A$206,C162,WBS!$B$7:$B$206,B162,WBS!$D$7:$D$206,F162)=1,"Matched","Check WBS / unit"))</x:f>
      </x:c>
      <x:c r="R162" s="21" t="str">
        <x:f>IF(A162="","",IF(OR(NOT(ISNUMBER(G162)),G162&lt;0),"Check reported quantity",IF(I162="Accepted",IF(OR(NOT(ISNUMBER(H162)),H162&lt;0,H162&gt;G162),"Check accepted quantity","Recorded"),"Not accepted")))</x:f>
      </x:c>
    </x:row>
    <x:row r="163" ht="60" customHeight="1">
      <x:c r="A163" s="11"/>
      <x:c r="B163" s="11"/>
      <x:c r="C163" s="11"/>
      <x:c r="D163" s="15"/>
      <x:c r="E163" s="11"/>
      <x:c r="F163" s="11"/>
      <x:c r="G163" s="12"/>
      <x:c r="H163" s="12"/>
      <x:c r="I163" s="11"/>
      <x:c r="J163" s="11"/>
      <x:c r="K163" s="11"/>
      <x:c r="L163" s="11"/>
      <x:c r="M163" s="15"/>
      <x:c r="N163" s="14"/>
      <x:c r="O163" s="11"/>
      <x:c r="P163" s="21" t="str">
        <x:f>IF(A163="","",IF(COUNTIFS($A$7:$A$206,A163,$B$7:$B$206,B163)&lt;&gt;1,"Duplicate event ID",IF(I163&lt;&gt;"Accepted","Review pending",IF(OR(J163="",L163="",NOT(ISNUMBER(M163)),M163&lt;=0,NOT(ISNUMBER(D163)),D163&lt;=0),"Missing approval evidence","Recorded - verify authority"))))</x:f>
      </x:c>
      <x:c r="Q163" s="21" t="str">
        <x:f>IF(A163="","",IF(COUNTIFS(WBS!$A$7:$A$206,C163,WBS!$B$7:$B$206,B163,WBS!$D$7:$D$206,F163)=1,"Matched","Check WBS / unit"))</x:f>
      </x:c>
      <x:c r="R163" s="21" t="str">
        <x:f>IF(A163="","",IF(OR(NOT(ISNUMBER(G163)),G163&lt;0),"Check reported quantity",IF(I163="Accepted",IF(OR(NOT(ISNUMBER(H163)),H163&lt;0,H163&gt;G163),"Check accepted quantity","Recorded"),"Not accepted")))</x:f>
      </x:c>
    </x:row>
    <x:row r="164" ht="60" customHeight="1">
      <x:c r="A164" s="11"/>
      <x:c r="B164" s="11"/>
      <x:c r="C164" s="11"/>
      <x:c r="D164" s="15"/>
      <x:c r="E164" s="11"/>
      <x:c r="F164" s="11"/>
      <x:c r="G164" s="12"/>
      <x:c r="H164" s="12"/>
      <x:c r="I164" s="11"/>
      <x:c r="J164" s="11"/>
      <x:c r="K164" s="11"/>
      <x:c r="L164" s="11"/>
      <x:c r="M164" s="15"/>
      <x:c r="N164" s="14"/>
      <x:c r="O164" s="11"/>
      <x:c r="P164" s="21" t="str">
        <x:f>IF(A164="","",IF(COUNTIFS($A$7:$A$206,A164,$B$7:$B$206,B164)&lt;&gt;1,"Duplicate event ID",IF(I164&lt;&gt;"Accepted","Review pending",IF(OR(J164="",L164="",NOT(ISNUMBER(M164)),M164&lt;=0,NOT(ISNUMBER(D164)),D164&lt;=0),"Missing approval evidence","Recorded - verify authority"))))</x:f>
      </x:c>
      <x:c r="Q164" s="21" t="str">
        <x:f>IF(A164="","",IF(COUNTIFS(WBS!$A$7:$A$206,C164,WBS!$B$7:$B$206,B164,WBS!$D$7:$D$206,F164)=1,"Matched","Check WBS / unit"))</x:f>
      </x:c>
      <x:c r="R164" s="21" t="str">
        <x:f>IF(A164="","",IF(OR(NOT(ISNUMBER(G164)),G164&lt;0),"Check reported quantity",IF(I164="Accepted",IF(OR(NOT(ISNUMBER(H164)),H164&lt;0,H164&gt;G164),"Check accepted quantity","Recorded"),"Not accepted")))</x:f>
      </x:c>
    </x:row>
    <x:row r="165" ht="60" customHeight="1">
      <x:c r="A165" s="11"/>
      <x:c r="B165" s="11"/>
      <x:c r="C165" s="11"/>
      <x:c r="D165" s="15"/>
      <x:c r="E165" s="11"/>
      <x:c r="F165" s="11"/>
      <x:c r="G165" s="12"/>
      <x:c r="H165" s="12"/>
      <x:c r="I165" s="11"/>
      <x:c r="J165" s="11"/>
      <x:c r="K165" s="11"/>
      <x:c r="L165" s="11"/>
      <x:c r="M165" s="15"/>
      <x:c r="N165" s="14"/>
      <x:c r="O165" s="11"/>
      <x:c r="P165" s="21" t="str">
        <x:f>IF(A165="","",IF(COUNTIFS($A$7:$A$206,A165,$B$7:$B$206,B165)&lt;&gt;1,"Duplicate event ID",IF(I165&lt;&gt;"Accepted","Review pending",IF(OR(J165="",L165="",NOT(ISNUMBER(M165)),M165&lt;=0,NOT(ISNUMBER(D165)),D165&lt;=0),"Missing approval evidence","Recorded - verify authority"))))</x:f>
      </x:c>
      <x:c r="Q165" s="21" t="str">
        <x:f>IF(A165="","",IF(COUNTIFS(WBS!$A$7:$A$206,C165,WBS!$B$7:$B$206,B165,WBS!$D$7:$D$206,F165)=1,"Matched","Check WBS / unit"))</x:f>
      </x:c>
      <x:c r="R165" s="21" t="str">
        <x:f>IF(A165="","",IF(OR(NOT(ISNUMBER(G165)),G165&lt;0),"Check reported quantity",IF(I165="Accepted",IF(OR(NOT(ISNUMBER(H165)),H165&lt;0,H165&gt;G165),"Check accepted quantity","Recorded"),"Not accepted")))</x:f>
      </x:c>
    </x:row>
    <x:row r="166" ht="60" customHeight="1">
      <x:c r="A166" s="11"/>
      <x:c r="B166" s="11"/>
      <x:c r="C166" s="11"/>
      <x:c r="D166" s="15"/>
      <x:c r="E166" s="11"/>
      <x:c r="F166" s="11"/>
      <x:c r="G166" s="12"/>
      <x:c r="H166" s="12"/>
      <x:c r="I166" s="11"/>
      <x:c r="J166" s="11"/>
      <x:c r="K166" s="11"/>
      <x:c r="L166" s="11"/>
      <x:c r="M166" s="15"/>
      <x:c r="N166" s="14"/>
      <x:c r="O166" s="11"/>
      <x:c r="P166" s="21" t="str">
        <x:f>IF(A166="","",IF(COUNTIFS($A$7:$A$206,A166,$B$7:$B$206,B166)&lt;&gt;1,"Duplicate event ID",IF(I166&lt;&gt;"Accepted","Review pending",IF(OR(J166="",L166="",NOT(ISNUMBER(M166)),M166&lt;=0,NOT(ISNUMBER(D166)),D166&lt;=0),"Missing approval evidence","Recorded - verify authority"))))</x:f>
      </x:c>
      <x:c r="Q166" s="21" t="str">
        <x:f>IF(A166="","",IF(COUNTIFS(WBS!$A$7:$A$206,C166,WBS!$B$7:$B$206,B166,WBS!$D$7:$D$206,F166)=1,"Matched","Check WBS / unit"))</x:f>
      </x:c>
      <x:c r="R166" s="21" t="str">
        <x:f>IF(A166="","",IF(OR(NOT(ISNUMBER(G166)),G166&lt;0),"Check reported quantity",IF(I166="Accepted",IF(OR(NOT(ISNUMBER(H166)),H166&lt;0,H166&gt;G166),"Check accepted quantity","Recorded"),"Not accepted")))</x:f>
      </x:c>
    </x:row>
    <x:row r="167" ht="60" customHeight="1">
      <x:c r="A167" s="11"/>
      <x:c r="B167" s="11"/>
      <x:c r="C167" s="11"/>
      <x:c r="D167" s="15"/>
      <x:c r="E167" s="11"/>
      <x:c r="F167" s="11"/>
      <x:c r="G167" s="12"/>
      <x:c r="H167" s="12"/>
      <x:c r="I167" s="11"/>
      <x:c r="J167" s="11"/>
      <x:c r="K167" s="11"/>
      <x:c r="L167" s="11"/>
      <x:c r="M167" s="15"/>
      <x:c r="N167" s="14"/>
      <x:c r="O167" s="11"/>
      <x:c r="P167" s="21" t="str">
        <x:f>IF(A167="","",IF(COUNTIFS($A$7:$A$206,A167,$B$7:$B$206,B167)&lt;&gt;1,"Duplicate event ID",IF(I167&lt;&gt;"Accepted","Review pending",IF(OR(J167="",L167="",NOT(ISNUMBER(M167)),M167&lt;=0,NOT(ISNUMBER(D167)),D167&lt;=0),"Missing approval evidence","Recorded - verify authority"))))</x:f>
      </x:c>
      <x:c r="Q167" s="21" t="str">
        <x:f>IF(A167="","",IF(COUNTIFS(WBS!$A$7:$A$206,C167,WBS!$B$7:$B$206,B167,WBS!$D$7:$D$206,F167)=1,"Matched","Check WBS / unit"))</x:f>
      </x:c>
      <x:c r="R167" s="21" t="str">
        <x:f>IF(A167="","",IF(OR(NOT(ISNUMBER(G167)),G167&lt;0),"Check reported quantity",IF(I167="Accepted",IF(OR(NOT(ISNUMBER(H167)),H167&lt;0,H167&gt;G167),"Check accepted quantity","Recorded"),"Not accepted")))</x:f>
      </x:c>
    </x:row>
    <x:row r="168" ht="60" customHeight="1">
      <x:c r="A168" s="11"/>
      <x:c r="B168" s="11"/>
      <x:c r="C168" s="11"/>
      <x:c r="D168" s="15"/>
      <x:c r="E168" s="11"/>
      <x:c r="F168" s="11"/>
      <x:c r="G168" s="12"/>
      <x:c r="H168" s="12"/>
      <x:c r="I168" s="11"/>
      <x:c r="J168" s="11"/>
      <x:c r="K168" s="11"/>
      <x:c r="L168" s="11"/>
      <x:c r="M168" s="15"/>
      <x:c r="N168" s="14"/>
      <x:c r="O168" s="11"/>
      <x:c r="P168" s="21" t="str">
        <x:f>IF(A168="","",IF(COUNTIFS($A$7:$A$206,A168,$B$7:$B$206,B168)&lt;&gt;1,"Duplicate event ID",IF(I168&lt;&gt;"Accepted","Review pending",IF(OR(J168="",L168="",NOT(ISNUMBER(M168)),M168&lt;=0,NOT(ISNUMBER(D168)),D168&lt;=0),"Missing approval evidence","Recorded - verify authority"))))</x:f>
      </x:c>
      <x:c r="Q168" s="21" t="str">
        <x:f>IF(A168="","",IF(COUNTIFS(WBS!$A$7:$A$206,C168,WBS!$B$7:$B$206,B168,WBS!$D$7:$D$206,F168)=1,"Matched","Check WBS / unit"))</x:f>
      </x:c>
      <x:c r="R168" s="21" t="str">
        <x:f>IF(A168="","",IF(OR(NOT(ISNUMBER(G168)),G168&lt;0),"Check reported quantity",IF(I168="Accepted",IF(OR(NOT(ISNUMBER(H168)),H168&lt;0,H168&gt;G168),"Check accepted quantity","Recorded"),"Not accepted")))</x:f>
      </x:c>
    </x:row>
    <x:row r="169" ht="60" customHeight="1">
      <x:c r="A169" s="11"/>
      <x:c r="B169" s="11"/>
      <x:c r="C169" s="11"/>
      <x:c r="D169" s="15"/>
      <x:c r="E169" s="11"/>
      <x:c r="F169" s="11"/>
      <x:c r="G169" s="12"/>
      <x:c r="H169" s="12"/>
      <x:c r="I169" s="11"/>
      <x:c r="J169" s="11"/>
      <x:c r="K169" s="11"/>
      <x:c r="L169" s="11"/>
      <x:c r="M169" s="15"/>
      <x:c r="N169" s="14"/>
      <x:c r="O169" s="11"/>
      <x:c r="P169" s="21" t="str">
        <x:f>IF(A169="","",IF(COUNTIFS($A$7:$A$206,A169,$B$7:$B$206,B169)&lt;&gt;1,"Duplicate event ID",IF(I169&lt;&gt;"Accepted","Review pending",IF(OR(J169="",L169="",NOT(ISNUMBER(M169)),M169&lt;=0,NOT(ISNUMBER(D169)),D169&lt;=0),"Missing approval evidence","Recorded - verify authority"))))</x:f>
      </x:c>
      <x:c r="Q169" s="21" t="str">
        <x:f>IF(A169="","",IF(COUNTIFS(WBS!$A$7:$A$206,C169,WBS!$B$7:$B$206,B169,WBS!$D$7:$D$206,F169)=1,"Matched","Check WBS / unit"))</x:f>
      </x:c>
      <x:c r="R169" s="21" t="str">
        <x:f>IF(A169="","",IF(OR(NOT(ISNUMBER(G169)),G169&lt;0),"Check reported quantity",IF(I169="Accepted",IF(OR(NOT(ISNUMBER(H169)),H169&lt;0,H169&gt;G169),"Check accepted quantity","Recorded"),"Not accepted")))</x:f>
      </x:c>
    </x:row>
    <x:row r="170" ht="60" customHeight="1">
      <x:c r="A170" s="11"/>
      <x:c r="B170" s="11"/>
      <x:c r="C170" s="11"/>
      <x:c r="D170" s="15"/>
      <x:c r="E170" s="11"/>
      <x:c r="F170" s="11"/>
      <x:c r="G170" s="12"/>
      <x:c r="H170" s="12"/>
      <x:c r="I170" s="11"/>
      <x:c r="J170" s="11"/>
      <x:c r="K170" s="11"/>
      <x:c r="L170" s="11"/>
      <x:c r="M170" s="15"/>
      <x:c r="N170" s="14"/>
      <x:c r="O170" s="11"/>
      <x:c r="P170" s="21" t="str">
        <x:f>IF(A170="","",IF(COUNTIFS($A$7:$A$206,A170,$B$7:$B$206,B170)&lt;&gt;1,"Duplicate event ID",IF(I170&lt;&gt;"Accepted","Review pending",IF(OR(J170="",L170="",NOT(ISNUMBER(M170)),M170&lt;=0,NOT(ISNUMBER(D170)),D170&lt;=0),"Missing approval evidence","Recorded - verify authority"))))</x:f>
      </x:c>
      <x:c r="Q170" s="21" t="str">
        <x:f>IF(A170="","",IF(COUNTIFS(WBS!$A$7:$A$206,C170,WBS!$B$7:$B$206,B170,WBS!$D$7:$D$206,F170)=1,"Matched","Check WBS / unit"))</x:f>
      </x:c>
      <x:c r="R170" s="21" t="str">
        <x:f>IF(A170="","",IF(OR(NOT(ISNUMBER(G170)),G170&lt;0),"Check reported quantity",IF(I170="Accepted",IF(OR(NOT(ISNUMBER(H170)),H170&lt;0,H170&gt;G170),"Check accepted quantity","Recorded"),"Not accepted")))</x:f>
      </x:c>
    </x:row>
    <x:row r="171" ht="60" customHeight="1">
      <x:c r="A171" s="11"/>
      <x:c r="B171" s="11"/>
      <x:c r="C171" s="11"/>
      <x:c r="D171" s="15"/>
      <x:c r="E171" s="11"/>
      <x:c r="F171" s="11"/>
      <x:c r="G171" s="12"/>
      <x:c r="H171" s="12"/>
      <x:c r="I171" s="11"/>
      <x:c r="J171" s="11"/>
      <x:c r="K171" s="11"/>
      <x:c r="L171" s="11"/>
      <x:c r="M171" s="15"/>
      <x:c r="N171" s="14"/>
      <x:c r="O171" s="11"/>
      <x:c r="P171" s="21" t="str">
        <x:f>IF(A171="","",IF(COUNTIFS($A$7:$A$206,A171,$B$7:$B$206,B171)&lt;&gt;1,"Duplicate event ID",IF(I171&lt;&gt;"Accepted","Review pending",IF(OR(J171="",L171="",NOT(ISNUMBER(M171)),M171&lt;=0,NOT(ISNUMBER(D171)),D171&lt;=0),"Missing approval evidence","Recorded - verify authority"))))</x:f>
      </x:c>
      <x:c r="Q171" s="21" t="str">
        <x:f>IF(A171="","",IF(COUNTIFS(WBS!$A$7:$A$206,C171,WBS!$B$7:$B$206,B171,WBS!$D$7:$D$206,F171)=1,"Matched","Check WBS / unit"))</x:f>
      </x:c>
      <x:c r="R171" s="21" t="str">
        <x:f>IF(A171="","",IF(OR(NOT(ISNUMBER(G171)),G171&lt;0),"Check reported quantity",IF(I171="Accepted",IF(OR(NOT(ISNUMBER(H171)),H171&lt;0,H171&gt;G171),"Check accepted quantity","Recorded"),"Not accepted")))</x:f>
      </x:c>
    </x:row>
    <x:row r="172" ht="60" customHeight="1">
      <x:c r="A172" s="11"/>
      <x:c r="B172" s="11"/>
      <x:c r="C172" s="11"/>
      <x:c r="D172" s="15"/>
      <x:c r="E172" s="11"/>
      <x:c r="F172" s="11"/>
      <x:c r="G172" s="12"/>
      <x:c r="H172" s="12"/>
      <x:c r="I172" s="11"/>
      <x:c r="J172" s="11"/>
      <x:c r="K172" s="11"/>
      <x:c r="L172" s="11"/>
      <x:c r="M172" s="15"/>
      <x:c r="N172" s="14"/>
      <x:c r="O172" s="11"/>
      <x:c r="P172" s="21" t="str">
        <x:f>IF(A172="","",IF(COUNTIFS($A$7:$A$206,A172,$B$7:$B$206,B172)&lt;&gt;1,"Duplicate event ID",IF(I172&lt;&gt;"Accepted","Review pending",IF(OR(J172="",L172="",NOT(ISNUMBER(M172)),M172&lt;=0,NOT(ISNUMBER(D172)),D172&lt;=0),"Missing approval evidence","Recorded - verify authority"))))</x:f>
      </x:c>
      <x:c r="Q172" s="21" t="str">
        <x:f>IF(A172="","",IF(COUNTIFS(WBS!$A$7:$A$206,C172,WBS!$B$7:$B$206,B172,WBS!$D$7:$D$206,F172)=1,"Matched","Check WBS / unit"))</x:f>
      </x:c>
      <x:c r="R172" s="21" t="str">
        <x:f>IF(A172="","",IF(OR(NOT(ISNUMBER(G172)),G172&lt;0),"Check reported quantity",IF(I172="Accepted",IF(OR(NOT(ISNUMBER(H172)),H172&lt;0,H172&gt;G172),"Check accepted quantity","Recorded"),"Not accepted")))</x:f>
      </x:c>
    </x:row>
    <x:row r="173" ht="60" customHeight="1">
      <x:c r="A173" s="11"/>
      <x:c r="B173" s="11"/>
      <x:c r="C173" s="11"/>
      <x:c r="D173" s="15"/>
      <x:c r="E173" s="11"/>
      <x:c r="F173" s="11"/>
      <x:c r="G173" s="12"/>
      <x:c r="H173" s="12"/>
      <x:c r="I173" s="11"/>
      <x:c r="J173" s="11"/>
      <x:c r="K173" s="11"/>
      <x:c r="L173" s="11"/>
      <x:c r="M173" s="15"/>
      <x:c r="N173" s="14"/>
      <x:c r="O173" s="11"/>
      <x:c r="P173" s="21" t="str">
        <x:f>IF(A173="","",IF(COUNTIFS($A$7:$A$206,A173,$B$7:$B$206,B173)&lt;&gt;1,"Duplicate event ID",IF(I173&lt;&gt;"Accepted","Review pending",IF(OR(J173="",L173="",NOT(ISNUMBER(M173)),M173&lt;=0,NOT(ISNUMBER(D173)),D173&lt;=0),"Missing approval evidence","Recorded - verify authority"))))</x:f>
      </x:c>
      <x:c r="Q173" s="21" t="str">
        <x:f>IF(A173="","",IF(COUNTIFS(WBS!$A$7:$A$206,C173,WBS!$B$7:$B$206,B173,WBS!$D$7:$D$206,F173)=1,"Matched","Check WBS / unit"))</x:f>
      </x:c>
      <x:c r="R173" s="21" t="str">
        <x:f>IF(A173="","",IF(OR(NOT(ISNUMBER(G173)),G173&lt;0),"Check reported quantity",IF(I173="Accepted",IF(OR(NOT(ISNUMBER(H173)),H173&lt;0,H173&gt;G173),"Check accepted quantity","Recorded"),"Not accepted")))</x:f>
      </x:c>
    </x:row>
    <x:row r="174" ht="60" customHeight="1">
      <x:c r="A174" s="11"/>
      <x:c r="B174" s="11"/>
      <x:c r="C174" s="11"/>
      <x:c r="D174" s="15"/>
      <x:c r="E174" s="11"/>
      <x:c r="F174" s="11"/>
      <x:c r="G174" s="12"/>
      <x:c r="H174" s="12"/>
      <x:c r="I174" s="11"/>
      <x:c r="J174" s="11"/>
      <x:c r="K174" s="11"/>
      <x:c r="L174" s="11"/>
      <x:c r="M174" s="15"/>
      <x:c r="N174" s="14"/>
      <x:c r="O174" s="11"/>
      <x:c r="P174" s="21" t="str">
        <x:f>IF(A174="","",IF(COUNTIFS($A$7:$A$206,A174,$B$7:$B$206,B174)&lt;&gt;1,"Duplicate event ID",IF(I174&lt;&gt;"Accepted","Review pending",IF(OR(J174="",L174="",NOT(ISNUMBER(M174)),M174&lt;=0,NOT(ISNUMBER(D174)),D174&lt;=0),"Missing approval evidence","Recorded - verify authority"))))</x:f>
      </x:c>
      <x:c r="Q174" s="21" t="str">
        <x:f>IF(A174="","",IF(COUNTIFS(WBS!$A$7:$A$206,C174,WBS!$B$7:$B$206,B174,WBS!$D$7:$D$206,F174)=1,"Matched","Check WBS / unit"))</x:f>
      </x:c>
      <x:c r="R174" s="21" t="str">
        <x:f>IF(A174="","",IF(OR(NOT(ISNUMBER(G174)),G174&lt;0),"Check reported quantity",IF(I174="Accepted",IF(OR(NOT(ISNUMBER(H174)),H174&lt;0,H174&gt;G174),"Check accepted quantity","Recorded"),"Not accepted")))</x:f>
      </x:c>
    </x:row>
    <x:row r="175" ht="60" customHeight="1">
      <x:c r="A175" s="11"/>
      <x:c r="B175" s="11"/>
      <x:c r="C175" s="11"/>
      <x:c r="D175" s="15"/>
      <x:c r="E175" s="11"/>
      <x:c r="F175" s="11"/>
      <x:c r="G175" s="12"/>
      <x:c r="H175" s="12"/>
      <x:c r="I175" s="11"/>
      <x:c r="J175" s="11"/>
      <x:c r="K175" s="11"/>
      <x:c r="L175" s="11"/>
      <x:c r="M175" s="15"/>
      <x:c r="N175" s="14"/>
      <x:c r="O175" s="11"/>
      <x:c r="P175" s="21" t="str">
        <x:f>IF(A175="","",IF(COUNTIFS($A$7:$A$206,A175,$B$7:$B$206,B175)&lt;&gt;1,"Duplicate event ID",IF(I175&lt;&gt;"Accepted","Review pending",IF(OR(J175="",L175="",NOT(ISNUMBER(M175)),M175&lt;=0,NOT(ISNUMBER(D175)),D175&lt;=0),"Missing approval evidence","Recorded - verify authority"))))</x:f>
      </x:c>
      <x:c r="Q175" s="21" t="str">
        <x:f>IF(A175="","",IF(COUNTIFS(WBS!$A$7:$A$206,C175,WBS!$B$7:$B$206,B175,WBS!$D$7:$D$206,F175)=1,"Matched","Check WBS / unit"))</x:f>
      </x:c>
      <x:c r="R175" s="21" t="str">
        <x:f>IF(A175="","",IF(OR(NOT(ISNUMBER(G175)),G175&lt;0),"Check reported quantity",IF(I175="Accepted",IF(OR(NOT(ISNUMBER(H175)),H175&lt;0,H175&gt;G175),"Check accepted quantity","Recorded"),"Not accepted")))</x:f>
      </x:c>
    </x:row>
    <x:row r="176" ht="60" customHeight="1">
      <x:c r="A176" s="11"/>
      <x:c r="B176" s="11"/>
      <x:c r="C176" s="11"/>
      <x:c r="D176" s="15"/>
      <x:c r="E176" s="11"/>
      <x:c r="F176" s="11"/>
      <x:c r="G176" s="12"/>
      <x:c r="H176" s="12"/>
      <x:c r="I176" s="11"/>
      <x:c r="J176" s="11"/>
      <x:c r="K176" s="11"/>
      <x:c r="L176" s="11"/>
      <x:c r="M176" s="15"/>
      <x:c r="N176" s="14"/>
      <x:c r="O176" s="11"/>
      <x:c r="P176" s="21" t="str">
        <x:f>IF(A176="","",IF(COUNTIFS($A$7:$A$206,A176,$B$7:$B$206,B176)&lt;&gt;1,"Duplicate event ID",IF(I176&lt;&gt;"Accepted","Review pending",IF(OR(J176="",L176="",NOT(ISNUMBER(M176)),M176&lt;=0,NOT(ISNUMBER(D176)),D176&lt;=0),"Missing approval evidence","Recorded - verify authority"))))</x:f>
      </x:c>
      <x:c r="Q176" s="21" t="str">
        <x:f>IF(A176="","",IF(COUNTIFS(WBS!$A$7:$A$206,C176,WBS!$B$7:$B$206,B176,WBS!$D$7:$D$206,F176)=1,"Matched","Check WBS / unit"))</x:f>
      </x:c>
      <x:c r="R176" s="21" t="str">
        <x:f>IF(A176="","",IF(OR(NOT(ISNUMBER(G176)),G176&lt;0),"Check reported quantity",IF(I176="Accepted",IF(OR(NOT(ISNUMBER(H176)),H176&lt;0,H176&gt;G176),"Check accepted quantity","Recorded"),"Not accepted")))</x:f>
      </x:c>
    </x:row>
    <x:row r="177" ht="60" customHeight="1">
      <x:c r="A177" s="11"/>
      <x:c r="B177" s="11"/>
      <x:c r="C177" s="11"/>
      <x:c r="D177" s="15"/>
      <x:c r="E177" s="11"/>
      <x:c r="F177" s="11"/>
      <x:c r="G177" s="12"/>
      <x:c r="H177" s="12"/>
      <x:c r="I177" s="11"/>
      <x:c r="J177" s="11"/>
      <x:c r="K177" s="11"/>
      <x:c r="L177" s="11"/>
      <x:c r="M177" s="15"/>
      <x:c r="N177" s="14"/>
      <x:c r="O177" s="11"/>
      <x:c r="P177" s="21" t="str">
        <x:f>IF(A177="","",IF(COUNTIFS($A$7:$A$206,A177,$B$7:$B$206,B177)&lt;&gt;1,"Duplicate event ID",IF(I177&lt;&gt;"Accepted","Review pending",IF(OR(J177="",L177="",NOT(ISNUMBER(M177)),M177&lt;=0,NOT(ISNUMBER(D177)),D177&lt;=0),"Missing approval evidence","Recorded - verify authority"))))</x:f>
      </x:c>
      <x:c r="Q177" s="21" t="str">
        <x:f>IF(A177="","",IF(COUNTIFS(WBS!$A$7:$A$206,C177,WBS!$B$7:$B$206,B177,WBS!$D$7:$D$206,F177)=1,"Matched","Check WBS / unit"))</x:f>
      </x:c>
      <x:c r="R177" s="21" t="str">
        <x:f>IF(A177="","",IF(OR(NOT(ISNUMBER(G177)),G177&lt;0),"Check reported quantity",IF(I177="Accepted",IF(OR(NOT(ISNUMBER(H177)),H177&lt;0,H177&gt;G177),"Check accepted quantity","Recorded"),"Not accepted")))</x:f>
      </x:c>
    </x:row>
    <x:row r="178" ht="60" customHeight="1">
      <x:c r="A178" s="11"/>
      <x:c r="B178" s="11"/>
      <x:c r="C178" s="11"/>
      <x:c r="D178" s="15"/>
      <x:c r="E178" s="11"/>
      <x:c r="F178" s="11"/>
      <x:c r="G178" s="12"/>
      <x:c r="H178" s="12"/>
      <x:c r="I178" s="11"/>
      <x:c r="J178" s="11"/>
      <x:c r="K178" s="11"/>
      <x:c r="L178" s="11"/>
      <x:c r="M178" s="15"/>
      <x:c r="N178" s="14"/>
      <x:c r="O178" s="11"/>
      <x:c r="P178" s="21" t="str">
        <x:f>IF(A178="","",IF(COUNTIFS($A$7:$A$206,A178,$B$7:$B$206,B178)&lt;&gt;1,"Duplicate event ID",IF(I178&lt;&gt;"Accepted","Review pending",IF(OR(J178="",L178="",NOT(ISNUMBER(M178)),M178&lt;=0,NOT(ISNUMBER(D178)),D178&lt;=0),"Missing approval evidence","Recorded - verify authority"))))</x:f>
      </x:c>
      <x:c r="Q178" s="21" t="str">
        <x:f>IF(A178="","",IF(COUNTIFS(WBS!$A$7:$A$206,C178,WBS!$B$7:$B$206,B178,WBS!$D$7:$D$206,F178)=1,"Matched","Check WBS / unit"))</x:f>
      </x:c>
      <x:c r="R178" s="21" t="str">
        <x:f>IF(A178="","",IF(OR(NOT(ISNUMBER(G178)),G178&lt;0),"Check reported quantity",IF(I178="Accepted",IF(OR(NOT(ISNUMBER(H178)),H178&lt;0,H178&gt;G178),"Check accepted quantity","Recorded"),"Not accepted")))</x:f>
      </x:c>
    </x:row>
    <x:row r="179" ht="60" customHeight="1">
      <x:c r="A179" s="11"/>
      <x:c r="B179" s="11"/>
      <x:c r="C179" s="11"/>
      <x:c r="D179" s="15"/>
      <x:c r="E179" s="11"/>
      <x:c r="F179" s="11"/>
      <x:c r="G179" s="12"/>
      <x:c r="H179" s="12"/>
      <x:c r="I179" s="11"/>
      <x:c r="J179" s="11"/>
      <x:c r="K179" s="11"/>
      <x:c r="L179" s="11"/>
      <x:c r="M179" s="15"/>
      <x:c r="N179" s="14"/>
      <x:c r="O179" s="11"/>
      <x:c r="P179" s="21" t="str">
        <x:f>IF(A179="","",IF(COUNTIFS($A$7:$A$206,A179,$B$7:$B$206,B179)&lt;&gt;1,"Duplicate event ID",IF(I179&lt;&gt;"Accepted","Review pending",IF(OR(J179="",L179="",NOT(ISNUMBER(M179)),M179&lt;=0,NOT(ISNUMBER(D179)),D179&lt;=0),"Missing approval evidence","Recorded - verify authority"))))</x:f>
      </x:c>
      <x:c r="Q179" s="21" t="str">
        <x:f>IF(A179="","",IF(COUNTIFS(WBS!$A$7:$A$206,C179,WBS!$B$7:$B$206,B179,WBS!$D$7:$D$206,F179)=1,"Matched","Check WBS / unit"))</x:f>
      </x:c>
      <x:c r="R179" s="21" t="str">
        <x:f>IF(A179="","",IF(OR(NOT(ISNUMBER(G179)),G179&lt;0),"Check reported quantity",IF(I179="Accepted",IF(OR(NOT(ISNUMBER(H179)),H179&lt;0,H179&gt;G179),"Check accepted quantity","Recorded"),"Not accepted")))</x:f>
      </x:c>
    </x:row>
    <x:row r="180" ht="60" customHeight="1">
      <x:c r="A180" s="11"/>
      <x:c r="B180" s="11"/>
      <x:c r="C180" s="11"/>
      <x:c r="D180" s="15"/>
      <x:c r="E180" s="11"/>
      <x:c r="F180" s="11"/>
      <x:c r="G180" s="12"/>
      <x:c r="H180" s="12"/>
      <x:c r="I180" s="11"/>
      <x:c r="J180" s="11"/>
      <x:c r="K180" s="11"/>
      <x:c r="L180" s="11"/>
      <x:c r="M180" s="15"/>
      <x:c r="N180" s="14"/>
      <x:c r="O180" s="11"/>
      <x:c r="P180" s="21" t="str">
        <x:f>IF(A180="","",IF(COUNTIFS($A$7:$A$206,A180,$B$7:$B$206,B180)&lt;&gt;1,"Duplicate event ID",IF(I180&lt;&gt;"Accepted","Review pending",IF(OR(J180="",L180="",NOT(ISNUMBER(M180)),M180&lt;=0,NOT(ISNUMBER(D180)),D180&lt;=0),"Missing approval evidence","Recorded - verify authority"))))</x:f>
      </x:c>
      <x:c r="Q180" s="21" t="str">
        <x:f>IF(A180="","",IF(COUNTIFS(WBS!$A$7:$A$206,C180,WBS!$B$7:$B$206,B180,WBS!$D$7:$D$206,F180)=1,"Matched","Check WBS / unit"))</x:f>
      </x:c>
      <x:c r="R180" s="21" t="str">
        <x:f>IF(A180="","",IF(OR(NOT(ISNUMBER(G180)),G180&lt;0),"Check reported quantity",IF(I180="Accepted",IF(OR(NOT(ISNUMBER(H180)),H180&lt;0,H180&gt;G180),"Check accepted quantity","Recorded"),"Not accepted")))</x:f>
      </x:c>
    </x:row>
    <x:row r="181" ht="60" customHeight="1">
      <x:c r="A181" s="11"/>
      <x:c r="B181" s="11"/>
      <x:c r="C181" s="11"/>
      <x:c r="D181" s="15"/>
      <x:c r="E181" s="11"/>
      <x:c r="F181" s="11"/>
      <x:c r="G181" s="12"/>
      <x:c r="H181" s="12"/>
      <x:c r="I181" s="11"/>
      <x:c r="J181" s="11"/>
      <x:c r="K181" s="11"/>
      <x:c r="L181" s="11"/>
      <x:c r="M181" s="15"/>
      <x:c r="N181" s="14"/>
      <x:c r="O181" s="11"/>
      <x:c r="P181" s="21" t="str">
        <x:f>IF(A181="","",IF(COUNTIFS($A$7:$A$206,A181,$B$7:$B$206,B181)&lt;&gt;1,"Duplicate event ID",IF(I181&lt;&gt;"Accepted","Review pending",IF(OR(J181="",L181="",NOT(ISNUMBER(M181)),M181&lt;=0,NOT(ISNUMBER(D181)),D181&lt;=0),"Missing approval evidence","Recorded - verify authority"))))</x:f>
      </x:c>
      <x:c r="Q181" s="21" t="str">
        <x:f>IF(A181="","",IF(COUNTIFS(WBS!$A$7:$A$206,C181,WBS!$B$7:$B$206,B181,WBS!$D$7:$D$206,F181)=1,"Matched","Check WBS / unit"))</x:f>
      </x:c>
      <x:c r="R181" s="21" t="str">
        <x:f>IF(A181="","",IF(OR(NOT(ISNUMBER(G181)),G181&lt;0),"Check reported quantity",IF(I181="Accepted",IF(OR(NOT(ISNUMBER(H181)),H181&lt;0,H181&gt;G181),"Check accepted quantity","Recorded"),"Not accepted")))</x:f>
      </x:c>
    </x:row>
    <x:row r="182" ht="60" customHeight="1">
      <x:c r="A182" s="11"/>
      <x:c r="B182" s="11"/>
      <x:c r="C182" s="11"/>
      <x:c r="D182" s="15"/>
      <x:c r="E182" s="11"/>
      <x:c r="F182" s="11"/>
      <x:c r="G182" s="12"/>
      <x:c r="H182" s="12"/>
      <x:c r="I182" s="11"/>
      <x:c r="J182" s="11"/>
      <x:c r="K182" s="11"/>
      <x:c r="L182" s="11"/>
      <x:c r="M182" s="15"/>
      <x:c r="N182" s="14"/>
      <x:c r="O182" s="11"/>
      <x:c r="P182" s="21" t="str">
        <x:f>IF(A182="","",IF(COUNTIFS($A$7:$A$206,A182,$B$7:$B$206,B182)&lt;&gt;1,"Duplicate event ID",IF(I182&lt;&gt;"Accepted","Review pending",IF(OR(J182="",L182="",NOT(ISNUMBER(M182)),M182&lt;=0,NOT(ISNUMBER(D182)),D182&lt;=0),"Missing approval evidence","Recorded - verify authority"))))</x:f>
      </x:c>
      <x:c r="Q182" s="21" t="str">
        <x:f>IF(A182="","",IF(COUNTIFS(WBS!$A$7:$A$206,C182,WBS!$B$7:$B$206,B182,WBS!$D$7:$D$206,F182)=1,"Matched","Check WBS / unit"))</x:f>
      </x:c>
      <x:c r="R182" s="21" t="str">
        <x:f>IF(A182="","",IF(OR(NOT(ISNUMBER(G182)),G182&lt;0),"Check reported quantity",IF(I182="Accepted",IF(OR(NOT(ISNUMBER(H182)),H182&lt;0,H182&gt;G182),"Check accepted quantity","Recorded"),"Not accepted")))</x:f>
      </x:c>
    </x:row>
    <x:row r="183" ht="60" customHeight="1">
      <x:c r="A183" s="11"/>
      <x:c r="B183" s="11"/>
      <x:c r="C183" s="11"/>
      <x:c r="D183" s="15"/>
      <x:c r="E183" s="11"/>
      <x:c r="F183" s="11"/>
      <x:c r="G183" s="12"/>
      <x:c r="H183" s="12"/>
      <x:c r="I183" s="11"/>
      <x:c r="J183" s="11"/>
      <x:c r="K183" s="11"/>
      <x:c r="L183" s="11"/>
      <x:c r="M183" s="15"/>
      <x:c r="N183" s="14"/>
      <x:c r="O183" s="11"/>
      <x:c r="P183" s="21" t="str">
        <x:f>IF(A183="","",IF(COUNTIFS($A$7:$A$206,A183,$B$7:$B$206,B183)&lt;&gt;1,"Duplicate event ID",IF(I183&lt;&gt;"Accepted","Review pending",IF(OR(J183="",L183="",NOT(ISNUMBER(M183)),M183&lt;=0,NOT(ISNUMBER(D183)),D183&lt;=0),"Missing approval evidence","Recorded - verify authority"))))</x:f>
      </x:c>
      <x:c r="Q183" s="21" t="str">
        <x:f>IF(A183="","",IF(COUNTIFS(WBS!$A$7:$A$206,C183,WBS!$B$7:$B$206,B183,WBS!$D$7:$D$206,F183)=1,"Matched","Check WBS / unit"))</x:f>
      </x:c>
      <x:c r="R183" s="21" t="str">
        <x:f>IF(A183="","",IF(OR(NOT(ISNUMBER(G183)),G183&lt;0),"Check reported quantity",IF(I183="Accepted",IF(OR(NOT(ISNUMBER(H183)),H183&lt;0,H183&gt;G183),"Check accepted quantity","Recorded"),"Not accepted")))</x:f>
      </x:c>
    </x:row>
    <x:row r="184" ht="60" customHeight="1">
      <x:c r="A184" s="11"/>
      <x:c r="B184" s="11"/>
      <x:c r="C184" s="11"/>
      <x:c r="D184" s="15"/>
      <x:c r="E184" s="11"/>
      <x:c r="F184" s="11"/>
      <x:c r="G184" s="12"/>
      <x:c r="H184" s="12"/>
      <x:c r="I184" s="11"/>
      <x:c r="J184" s="11"/>
      <x:c r="K184" s="11"/>
      <x:c r="L184" s="11"/>
      <x:c r="M184" s="15"/>
      <x:c r="N184" s="14"/>
      <x:c r="O184" s="11"/>
      <x:c r="P184" s="21" t="str">
        <x:f>IF(A184="","",IF(COUNTIFS($A$7:$A$206,A184,$B$7:$B$206,B184)&lt;&gt;1,"Duplicate event ID",IF(I184&lt;&gt;"Accepted","Review pending",IF(OR(J184="",L184="",NOT(ISNUMBER(M184)),M184&lt;=0,NOT(ISNUMBER(D184)),D184&lt;=0),"Missing approval evidence","Recorded - verify authority"))))</x:f>
      </x:c>
      <x:c r="Q184" s="21" t="str">
        <x:f>IF(A184="","",IF(COUNTIFS(WBS!$A$7:$A$206,C184,WBS!$B$7:$B$206,B184,WBS!$D$7:$D$206,F184)=1,"Matched","Check WBS / unit"))</x:f>
      </x:c>
      <x:c r="R184" s="21" t="str">
        <x:f>IF(A184="","",IF(OR(NOT(ISNUMBER(G184)),G184&lt;0),"Check reported quantity",IF(I184="Accepted",IF(OR(NOT(ISNUMBER(H184)),H184&lt;0,H184&gt;G184),"Check accepted quantity","Recorded"),"Not accepted")))</x:f>
      </x:c>
    </x:row>
    <x:row r="185" ht="60" customHeight="1">
      <x:c r="A185" s="11"/>
      <x:c r="B185" s="11"/>
      <x:c r="C185" s="11"/>
      <x:c r="D185" s="15"/>
      <x:c r="E185" s="11"/>
      <x:c r="F185" s="11"/>
      <x:c r="G185" s="12"/>
      <x:c r="H185" s="12"/>
      <x:c r="I185" s="11"/>
      <x:c r="J185" s="11"/>
      <x:c r="K185" s="11"/>
      <x:c r="L185" s="11"/>
      <x:c r="M185" s="15"/>
      <x:c r="N185" s="14"/>
      <x:c r="O185" s="11"/>
      <x:c r="P185" s="21" t="str">
        <x:f>IF(A185="","",IF(COUNTIFS($A$7:$A$206,A185,$B$7:$B$206,B185)&lt;&gt;1,"Duplicate event ID",IF(I185&lt;&gt;"Accepted","Review pending",IF(OR(J185="",L185="",NOT(ISNUMBER(M185)),M185&lt;=0,NOT(ISNUMBER(D185)),D185&lt;=0),"Missing approval evidence","Recorded - verify authority"))))</x:f>
      </x:c>
      <x:c r="Q185" s="21" t="str">
        <x:f>IF(A185="","",IF(COUNTIFS(WBS!$A$7:$A$206,C185,WBS!$B$7:$B$206,B185,WBS!$D$7:$D$206,F185)=1,"Matched","Check WBS / unit"))</x:f>
      </x:c>
      <x:c r="R185" s="21" t="str">
        <x:f>IF(A185="","",IF(OR(NOT(ISNUMBER(G185)),G185&lt;0),"Check reported quantity",IF(I185="Accepted",IF(OR(NOT(ISNUMBER(H185)),H185&lt;0,H185&gt;G185),"Check accepted quantity","Recorded"),"Not accepted")))</x:f>
      </x:c>
    </x:row>
    <x:row r="186" ht="60" customHeight="1">
      <x:c r="A186" s="11"/>
      <x:c r="B186" s="11"/>
      <x:c r="C186" s="11"/>
      <x:c r="D186" s="15"/>
      <x:c r="E186" s="11"/>
      <x:c r="F186" s="11"/>
      <x:c r="G186" s="12"/>
      <x:c r="H186" s="12"/>
      <x:c r="I186" s="11"/>
      <x:c r="J186" s="11"/>
      <x:c r="K186" s="11"/>
      <x:c r="L186" s="11"/>
      <x:c r="M186" s="15"/>
      <x:c r="N186" s="14"/>
      <x:c r="O186" s="11"/>
      <x:c r="P186" s="21" t="str">
        <x:f>IF(A186="","",IF(COUNTIFS($A$7:$A$206,A186,$B$7:$B$206,B186)&lt;&gt;1,"Duplicate event ID",IF(I186&lt;&gt;"Accepted","Review pending",IF(OR(J186="",L186="",NOT(ISNUMBER(M186)),M186&lt;=0,NOT(ISNUMBER(D186)),D186&lt;=0),"Missing approval evidence","Recorded - verify authority"))))</x:f>
      </x:c>
      <x:c r="Q186" s="21" t="str">
        <x:f>IF(A186="","",IF(COUNTIFS(WBS!$A$7:$A$206,C186,WBS!$B$7:$B$206,B186,WBS!$D$7:$D$206,F186)=1,"Matched","Check WBS / unit"))</x:f>
      </x:c>
      <x:c r="R186" s="21" t="str">
        <x:f>IF(A186="","",IF(OR(NOT(ISNUMBER(G186)),G186&lt;0),"Check reported quantity",IF(I186="Accepted",IF(OR(NOT(ISNUMBER(H186)),H186&lt;0,H186&gt;G186),"Check accepted quantity","Recorded"),"Not accepted")))</x:f>
      </x:c>
    </x:row>
    <x:row r="187" ht="60" customHeight="1">
      <x:c r="A187" s="11"/>
      <x:c r="B187" s="11"/>
      <x:c r="C187" s="11"/>
      <x:c r="D187" s="15"/>
      <x:c r="E187" s="11"/>
      <x:c r="F187" s="11"/>
      <x:c r="G187" s="12"/>
      <x:c r="H187" s="12"/>
      <x:c r="I187" s="11"/>
      <x:c r="J187" s="11"/>
      <x:c r="K187" s="11"/>
      <x:c r="L187" s="11"/>
      <x:c r="M187" s="15"/>
      <x:c r="N187" s="14"/>
      <x:c r="O187" s="11"/>
      <x:c r="P187" s="21" t="str">
        <x:f>IF(A187="","",IF(COUNTIFS($A$7:$A$206,A187,$B$7:$B$206,B187)&lt;&gt;1,"Duplicate event ID",IF(I187&lt;&gt;"Accepted","Review pending",IF(OR(J187="",L187="",NOT(ISNUMBER(M187)),M187&lt;=0,NOT(ISNUMBER(D187)),D187&lt;=0),"Missing approval evidence","Recorded - verify authority"))))</x:f>
      </x:c>
      <x:c r="Q187" s="21" t="str">
        <x:f>IF(A187="","",IF(COUNTIFS(WBS!$A$7:$A$206,C187,WBS!$B$7:$B$206,B187,WBS!$D$7:$D$206,F187)=1,"Matched","Check WBS / unit"))</x:f>
      </x:c>
      <x:c r="R187" s="21" t="str">
        <x:f>IF(A187="","",IF(OR(NOT(ISNUMBER(G187)),G187&lt;0),"Check reported quantity",IF(I187="Accepted",IF(OR(NOT(ISNUMBER(H187)),H187&lt;0,H187&gt;G187),"Check accepted quantity","Recorded"),"Not accepted")))</x:f>
      </x:c>
    </x:row>
    <x:row r="188" ht="60" customHeight="1">
      <x:c r="A188" s="11"/>
      <x:c r="B188" s="11"/>
      <x:c r="C188" s="11"/>
      <x:c r="D188" s="15"/>
      <x:c r="E188" s="11"/>
      <x:c r="F188" s="11"/>
      <x:c r="G188" s="12"/>
      <x:c r="H188" s="12"/>
      <x:c r="I188" s="11"/>
      <x:c r="J188" s="11"/>
      <x:c r="K188" s="11"/>
      <x:c r="L188" s="11"/>
      <x:c r="M188" s="15"/>
      <x:c r="N188" s="14"/>
      <x:c r="O188" s="11"/>
      <x:c r="P188" s="21" t="str">
        <x:f>IF(A188="","",IF(COUNTIFS($A$7:$A$206,A188,$B$7:$B$206,B188)&lt;&gt;1,"Duplicate event ID",IF(I188&lt;&gt;"Accepted","Review pending",IF(OR(J188="",L188="",NOT(ISNUMBER(M188)),M188&lt;=0,NOT(ISNUMBER(D188)),D188&lt;=0),"Missing approval evidence","Recorded - verify authority"))))</x:f>
      </x:c>
      <x:c r="Q188" s="21" t="str">
        <x:f>IF(A188="","",IF(COUNTIFS(WBS!$A$7:$A$206,C188,WBS!$B$7:$B$206,B188,WBS!$D$7:$D$206,F188)=1,"Matched","Check WBS / unit"))</x:f>
      </x:c>
      <x:c r="R188" s="21" t="str">
        <x:f>IF(A188="","",IF(OR(NOT(ISNUMBER(G188)),G188&lt;0),"Check reported quantity",IF(I188="Accepted",IF(OR(NOT(ISNUMBER(H188)),H188&lt;0,H188&gt;G188),"Check accepted quantity","Recorded"),"Not accepted")))</x:f>
      </x:c>
    </x:row>
    <x:row r="189" ht="60" customHeight="1">
      <x:c r="A189" s="11"/>
      <x:c r="B189" s="11"/>
      <x:c r="C189" s="11"/>
      <x:c r="D189" s="15"/>
      <x:c r="E189" s="11"/>
      <x:c r="F189" s="11"/>
      <x:c r="G189" s="12"/>
      <x:c r="H189" s="12"/>
      <x:c r="I189" s="11"/>
      <x:c r="J189" s="11"/>
      <x:c r="K189" s="11"/>
      <x:c r="L189" s="11"/>
      <x:c r="M189" s="15"/>
      <x:c r="N189" s="14"/>
      <x:c r="O189" s="11"/>
      <x:c r="P189" s="21" t="str">
        <x:f>IF(A189="","",IF(COUNTIFS($A$7:$A$206,A189,$B$7:$B$206,B189)&lt;&gt;1,"Duplicate event ID",IF(I189&lt;&gt;"Accepted","Review pending",IF(OR(J189="",L189="",NOT(ISNUMBER(M189)),M189&lt;=0,NOT(ISNUMBER(D189)),D189&lt;=0),"Missing approval evidence","Recorded - verify authority"))))</x:f>
      </x:c>
      <x:c r="Q189" s="21" t="str">
        <x:f>IF(A189="","",IF(COUNTIFS(WBS!$A$7:$A$206,C189,WBS!$B$7:$B$206,B189,WBS!$D$7:$D$206,F189)=1,"Matched","Check WBS / unit"))</x:f>
      </x:c>
      <x:c r="R189" s="21" t="str">
        <x:f>IF(A189="","",IF(OR(NOT(ISNUMBER(G189)),G189&lt;0),"Check reported quantity",IF(I189="Accepted",IF(OR(NOT(ISNUMBER(H189)),H189&lt;0,H189&gt;G189),"Check accepted quantity","Recorded"),"Not accepted")))</x:f>
      </x:c>
    </x:row>
    <x:row r="190" ht="60" customHeight="1">
      <x:c r="A190" s="11"/>
      <x:c r="B190" s="11"/>
      <x:c r="C190" s="11"/>
      <x:c r="D190" s="15"/>
      <x:c r="E190" s="11"/>
      <x:c r="F190" s="11"/>
      <x:c r="G190" s="12"/>
      <x:c r="H190" s="12"/>
      <x:c r="I190" s="11"/>
      <x:c r="J190" s="11"/>
      <x:c r="K190" s="11"/>
      <x:c r="L190" s="11"/>
      <x:c r="M190" s="15"/>
      <x:c r="N190" s="14"/>
      <x:c r="O190" s="11"/>
      <x:c r="P190" s="21" t="str">
        <x:f>IF(A190="","",IF(COUNTIFS($A$7:$A$206,A190,$B$7:$B$206,B190)&lt;&gt;1,"Duplicate event ID",IF(I190&lt;&gt;"Accepted","Review pending",IF(OR(J190="",L190="",NOT(ISNUMBER(M190)),M190&lt;=0,NOT(ISNUMBER(D190)),D190&lt;=0),"Missing approval evidence","Recorded - verify authority"))))</x:f>
      </x:c>
      <x:c r="Q190" s="21" t="str">
        <x:f>IF(A190="","",IF(COUNTIFS(WBS!$A$7:$A$206,C190,WBS!$B$7:$B$206,B190,WBS!$D$7:$D$206,F190)=1,"Matched","Check WBS / unit"))</x:f>
      </x:c>
      <x:c r="R190" s="21" t="str">
        <x:f>IF(A190="","",IF(OR(NOT(ISNUMBER(G190)),G190&lt;0),"Check reported quantity",IF(I190="Accepted",IF(OR(NOT(ISNUMBER(H190)),H190&lt;0,H190&gt;G190),"Check accepted quantity","Recorded"),"Not accepted")))</x:f>
      </x:c>
    </x:row>
    <x:row r="191" ht="60" customHeight="1">
      <x:c r="A191" s="11"/>
      <x:c r="B191" s="11"/>
      <x:c r="C191" s="11"/>
      <x:c r="D191" s="15"/>
      <x:c r="E191" s="11"/>
      <x:c r="F191" s="11"/>
      <x:c r="G191" s="12"/>
      <x:c r="H191" s="12"/>
      <x:c r="I191" s="11"/>
      <x:c r="J191" s="11"/>
      <x:c r="K191" s="11"/>
      <x:c r="L191" s="11"/>
      <x:c r="M191" s="15"/>
      <x:c r="N191" s="14"/>
      <x:c r="O191" s="11"/>
      <x:c r="P191" s="21" t="str">
        <x:f>IF(A191="","",IF(COUNTIFS($A$7:$A$206,A191,$B$7:$B$206,B191)&lt;&gt;1,"Duplicate event ID",IF(I191&lt;&gt;"Accepted","Review pending",IF(OR(J191="",L191="",NOT(ISNUMBER(M191)),M191&lt;=0,NOT(ISNUMBER(D191)),D191&lt;=0),"Missing approval evidence","Recorded - verify authority"))))</x:f>
      </x:c>
      <x:c r="Q191" s="21" t="str">
        <x:f>IF(A191="","",IF(COUNTIFS(WBS!$A$7:$A$206,C191,WBS!$B$7:$B$206,B191,WBS!$D$7:$D$206,F191)=1,"Matched","Check WBS / unit"))</x:f>
      </x:c>
      <x:c r="R191" s="21" t="str">
        <x:f>IF(A191="","",IF(OR(NOT(ISNUMBER(G191)),G191&lt;0),"Check reported quantity",IF(I191="Accepted",IF(OR(NOT(ISNUMBER(H191)),H191&lt;0,H191&gt;G191),"Check accepted quantity","Recorded"),"Not accepted")))</x:f>
      </x:c>
    </x:row>
    <x:row r="192" ht="60" customHeight="1">
      <x:c r="A192" s="11"/>
      <x:c r="B192" s="11"/>
      <x:c r="C192" s="11"/>
      <x:c r="D192" s="15"/>
      <x:c r="E192" s="11"/>
      <x:c r="F192" s="11"/>
      <x:c r="G192" s="12"/>
      <x:c r="H192" s="12"/>
      <x:c r="I192" s="11"/>
      <x:c r="J192" s="11"/>
      <x:c r="K192" s="11"/>
      <x:c r="L192" s="11"/>
      <x:c r="M192" s="15"/>
      <x:c r="N192" s="14"/>
      <x:c r="O192" s="11"/>
      <x:c r="P192" s="21" t="str">
        <x:f>IF(A192="","",IF(COUNTIFS($A$7:$A$206,A192,$B$7:$B$206,B192)&lt;&gt;1,"Duplicate event ID",IF(I192&lt;&gt;"Accepted","Review pending",IF(OR(J192="",L192="",NOT(ISNUMBER(M192)),M192&lt;=0,NOT(ISNUMBER(D192)),D192&lt;=0),"Missing approval evidence","Recorded - verify authority"))))</x:f>
      </x:c>
      <x:c r="Q192" s="21" t="str">
        <x:f>IF(A192="","",IF(COUNTIFS(WBS!$A$7:$A$206,C192,WBS!$B$7:$B$206,B192,WBS!$D$7:$D$206,F192)=1,"Matched","Check WBS / unit"))</x:f>
      </x:c>
      <x:c r="R192" s="21" t="str">
        <x:f>IF(A192="","",IF(OR(NOT(ISNUMBER(G192)),G192&lt;0),"Check reported quantity",IF(I192="Accepted",IF(OR(NOT(ISNUMBER(H192)),H192&lt;0,H192&gt;G192),"Check accepted quantity","Recorded"),"Not accepted")))</x:f>
      </x:c>
    </x:row>
    <x:row r="193" ht="60" customHeight="1">
      <x:c r="A193" s="11"/>
      <x:c r="B193" s="11"/>
      <x:c r="C193" s="11"/>
      <x:c r="D193" s="15"/>
      <x:c r="E193" s="11"/>
      <x:c r="F193" s="11"/>
      <x:c r="G193" s="12"/>
      <x:c r="H193" s="12"/>
      <x:c r="I193" s="11"/>
      <x:c r="J193" s="11"/>
      <x:c r="K193" s="11"/>
      <x:c r="L193" s="11"/>
      <x:c r="M193" s="15"/>
      <x:c r="N193" s="14"/>
      <x:c r="O193" s="11"/>
      <x:c r="P193" s="21" t="str">
        <x:f>IF(A193="","",IF(COUNTIFS($A$7:$A$206,A193,$B$7:$B$206,B193)&lt;&gt;1,"Duplicate event ID",IF(I193&lt;&gt;"Accepted","Review pending",IF(OR(J193="",L193="",NOT(ISNUMBER(M193)),M193&lt;=0,NOT(ISNUMBER(D193)),D193&lt;=0),"Missing approval evidence","Recorded - verify authority"))))</x:f>
      </x:c>
      <x:c r="Q193" s="21" t="str">
        <x:f>IF(A193="","",IF(COUNTIFS(WBS!$A$7:$A$206,C193,WBS!$B$7:$B$206,B193,WBS!$D$7:$D$206,F193)=1,"Matched","Check WBS / unit"))</x:f>
      </x:c>
      <x:c r="R193" s="21" t="str">
        <x:f>IF(A193="","",IF(OR(NOT(ISNUMBER(G193)),G193&lt;0),"Check reported quantity",IF(I193="Accepted",IF(OR(NOT(ISNUMBER(H193)),H193&lt;0,H193&gt;G193),"Check accepted quantity","Recorded"),"Not accepted")))</x:f>
      </x:c>
    </x:row>
    <x:row r="194" ht="60" customHeight="1">
      <x:c r="A194" s="11"/>
      <x:c r="B194" s="11"/>
      <x:c r="C194" s="11"/>
      <x:c r="D194" s="15"/>
      <x:c r="E194" s="11"/>
      <x:c r="F194" s="11"/>
      <x:c r="G194" s="12"/>
      <x:c r="H194" s="12"/>
      <x:c r="I194" s="11"/>
      <x:c r="J194" s="11"/>
      <x:c r="K194" s="11"/>
      <x:c r="L194" s="11"/>
      <x:c r="M194" s="15"/>
      <x:c r="N194" s="14"/>
      <x:c r="O194" s="11"/>
      <x:c r="P194" s="21" t="str">
        <x:f>IF(A194="","",IF(COUNTIFS($A$7:$A$206,A194,$B$7:$B$206,B194)&lt;&gt;1,"Duplicate event ID",IF(I194&lt;&gt;"Accepted","Review pending",IF(OR(J194="",L194="",NOT(ISNUMBER(M194)),M194&lt;=0,NOT(ISNUMBER(D194)),D194&lt;=0),"Missing approval evidence","Recorded - verify authority"))))</x:f>
      </x:c>
      <x:c r="Q194" s="21" t="str">
        <x:f>IF(A194="","",IF(COUNTIFS(WBS!$A$7:$A$206,C194,WBS!$B$7:$B$206,B194,WBS!$D$7:$D$206,F194)=1,"Matched","Check WBS / unit"))</x:f>
      </x:c>
      <x:c r="R194" s="21" t="str">
        <x:f>IF(A194="","",IF(OR(NOT(ISNUMBER(G194)),G194&lt;0),"Check reported quantity",IF(I194="Accepted",IF(OR(NOT(ISNUMBER(H194)),H194&lt;0,H194&gt;G194),"Check accepted quantity","Recorded"),"Not accepted")))</x:f>
      </x:c>
    </x:row>
    <x:row r="195" ht="60" customHeight="1">
      <x:c r="A195" s="11"/>
      <x:c r="B195" s="11"/>
      <x:c r="C195" s="11"/>
      <x:c r="D195" s="15"/>
      <x:c r="E195" s="11"/>
      <x:c r="F195" s="11"/>
      <x:c r="G195" s="12"/>
      <x:c r="H195" s="12"/>
      <x:c r="I195" s="11"/>
      <x:c r="J195" s="11"/>
      <x:c r="K195" s="11"/>
      <x:c r="L195" s="11"/>
      <x:c r="M195" s="15"/>
      <x:c r="N195" s="14"/>
      <x:c r="O195" s="11"/>
      <x:c r="P195" s="21" t="str">
        <x:f>IF(A195="","",IF(COUNTIFS($A$7:$A$206,A195,$B$7:$B$206,B195)&lt;&gt;1,"Duplicate event ID",IF(I195&lt;&gt;"Accepted","Review pending",IF(OR(J195="",L195="",NOT(ISNUMBER(M195)),M195&lt;=0,NOT(ISNUMBER(D195)),D195&lt;=0),"Missing approval evidence","Recorded - verify authority"))))</x:f>
      </x:c>
      <x:c r="Q195" s="21" t="str">
        <x:f>IF(A195="","",IF(COUNTIFS(WBS!$A$7:$A$206,C195,WBS!$B$7:$B$206,B195,WBS!$D$7:$D$206,F195)=1,"Matched","Check WBS / unit"))</x:f>
      </x:c>
      <x:c r="R195" s="21" t="str">
        <x:f>IF(A195="","",IF(OR(NOT(ISNUMBER(G195)),G195&lt;0),"Check reported quantity",IF(I195="Accepted",IF(OR(NOT(ISNUMBER(H195)),H195&lt;0,H195&gt;G195),"Check accepted quantity","Recorded"),"Not accepted")))</x:f>
      </x:c>
    </x:row>
    <x:row r="196" ht="60" customHeight="1">
      <x:c r="A196" s="11"/>
      <x:c r="B196" s="11"/>
      <x:c r="C196" s="11"/>
      <x:c r="D196" s="15"/>
      <x:c r="E196" s="11"/>
      <x:c r="F196" s="11"/>
      <x:c r="G196" s="12"/>
      <x:c r="H196" s="12"/>
      <x:c r="I196" s="11"/>
      <x:c r="J196" s="11"/>
      <x:c r="K196" s="11"/>
      <x:c r="L196" s="11"/>
      <x:c r="M196" s="15"/>
      <x:c r="N196" s="14"/>
      <x:c r="O196" s="11"/>
      <x:c r="P196" s="21" t="str">
        <x:f>IF(A196="","",IF(COUNTIFS($A$7:$A$206,A196,$B$7:$B$206,B196)&lt;&gt;1,"Duplicate event ID",IF(I196&lt;&gt;"Accepted","Review pending",IF(OR(J196="",L196="",NOT(ISNUMBER(M196)),M196&lt;=0,NOT(ISNUMBER(D196)),D196&lt;=0),"Missing approval evidence","Recorded - verify authority"))))</x:f>
      </x:c>
      <x:c r="Q196" s="21" t="str">
        <x:f>IF(A196="","",IF(COUNTIFS(WBS!$A$7:$A$206,C196,WBS!$B$7:$B$206,B196,WBS!$D$7:$D$206,F196)=1,"Matched","Check WBS / unit"))</x:f>
      </x:c>
      <x:c r="R196" s="21" t="str">
        <x:f>IF(A196="","",IF(OR(NOT(ISNUMBER(G196)),G196&lt;0),"Check reported quantity",IF(I196="Accepted",IF(OR(NOT(ISNUMBER(H196)),H196&lt;0,H196&gt;G196),"Check accepted quantity","Recorded"),"Not accepted")))</x:f>
      </x:c>
    </x:row>
    <x:row r="197" ht="60" customHeight="1">
      <x:c r="A197" s="11"/>
      <x:c r="B197" s="11"/>
      <x:c r="C197" s="11"/>
      <x:c r="D197" s="15"/>
      <x:c r="E197" s="11"/>
      <x:c r="F197" s="11"/>
      <x:c r="G197" s="12"/>
      <x:c r="H197" s="12"/>
      <x:c r="I197" s="11"/>
      <x:c r="J197" s="11"/>
      <x:c r="K197" s="11"/>
      <x:c r="L197" s="11"/>
      <x:c r="M197" s="15"/>
      <x:c r="N197" s="14"/>
      <x:c r="O197" s="11"/>
      <x:c r="P197" s="21" t="str">
        <x:f>IF(A197="","",IF(COUNTIFS($A$7:$A$206,A197,$B$7:$B$206,B197)&lt;&gt;1,"Duplicate event ID",IF(I197&lt;&gt;"Accepted","Review pending",IF(OR(J197="",L197="",NOT(ISNUMBER(M197)),M197&lt;=0,NOT(ISNUMBER(D197)),D197&lt;=0),"Missing approval evidence","Recorded - verify authority"))))</x:f>
      </x:c>
      <x:c r="Q197" s="21" t="str">
        <x:f>IF(A197="","",IF(COUNTIFS(WBS!$A$7:$A$206,C197,WBS!$B$7:$B$206,B197,WBS!$D$7:$D$206,F197)=1,"Matched","Check WBS / unit"))</x:f>
      </x:c>
      <x:c r="R197" s="21" t="str">
        <x:f>IF(A197="","",IF(OR(NOT(ISNUMBER(G197)),G197&lt;0),"Check reported quantity",IF(I197="Accepted",IF(OR(NOT(ISNUMBER(H197)),H197&lt;0,H197&gt;G197),"Check accepted quantity","Recorded"),"Not accepted")))</x:f>
      </x:c>
    </x:row>
    <x:row r="198" ht="60" customHeight="1">
      <x:c r="A198" s="11"/>
      <x:c r="B198" s="11"/>
      <x:c r="C198" s="11"/>
      <x:c r="D198" s="15"/>
      <x:c r="E198" s="11"/>
      <x:c r="F198" s="11"/>
      <x:c r="G198" s="12"/>
      <x:c r="H198" s="12"/>
      <x:c r="I198" s="11"/>
      <x:c r="J198" s="11"/>
      <x:c r="K198" s="11"/>
      <x:c r="L198" s="11"/>
      <x:c r="M198" s="15"/>
      <x:c r="N198" s="14"/>
      <x:c r="O198" s="11"/>
      <x:c r="P198" s="21" t="str">
        <x:f>IF(A198="","",IF(COUNTIFS($A$7:$A$206,A198,$B$7:$B$206,B198)&lt;&gt;1,"Duplicate event ID",IF(I198&lt;&gt;"Accepted","Review pending",IF(OR(J198="",L198="",NOT(ISNUMBER(M198)),M198&lt;=0,NOT(ISNUMBER(D198)),D198&lt;=0),"Missing approval evidence","Recorded - verify authority"))))</x:f>
      </x:c>
      <x:c r="Q198" s="21" t="str">
        <x:f>IF(A198="","",IF(COUNTIFS(WBS!$A$7:$A$206,C198,WBS!$B$7:$B$206,B198,WBS!$D$7:$D$206,F198)=1,"Matched","Check WBS / unit"))</x:f>
      </x:c>
      <x:c r="R198" s="21" t="str">
        <x:f>IF(A198="","",IF(OR(NOT(ISNUMBER(G198)),G198&lt;0),"Check reported quantity",IF(I198="Accepted",IF(OR(NOT(ISNUMBER(H198)),H198&lt;0,H198&gt;G198),"Check accepted quantity","Recorded"),"Not accepted")))</x:f>
      </x:c>
    </x:row>
    <x:row r="199" ht="60" customHeight="1">
      <x:c r="A199" s="11"/>
      <x:c r="B199" s="11"/>
      <x:c r="C199" s="11"/>
      <x:c r="D199" s="15"/>
      <x:c r="E199" s="11"/>
      <x:c r="F199" s="11"/>
      <x:c r="G199" s="12"/>
      <x:c r="H199" s="12"/>
      <x:c r="I199" s="11"/>
      <x:c r="J199" s="11"/>
      <x:c r="K199" s="11"/>
      <x:c r="L199" s="11"/>
      <x:c r="M199" s="15"/>
      <x:c r="N199" s="14"/>
      <x:c r="O199" s="11"/>
      <x:c r="P199" s="21" t="str">
        <x:f>IF(A199="","",IF(COUNTIFS($A$7:$A$206,A199,$B$7:$B$206,B199)&lt;&gt;1,"Duplicate event ID",IF(I199&lt;&gt;"Accepted","Review pending",IF(OR(J199="",L199="",NOT(ISNUMBER(M199)),M199&lt;=0,NOT(ISNUMBER(D199)),D199&lt;=0),"Missing approval evidence","Recorded - verify authority"))))</x:f>
      </x:c>
      <x:c r="Q199" s="21" t="str">
        <x:f>IF(A199="","",IF(COUNTIFS(WBS!$A$7:$A$206,C199,WBS!$B$7:$B$206,B199,WBS!$D$7:$D$206,F199)=1,"Matched","Check WBS / unit"))</x:f>
      </x:c>
      <x:c r="R199" s="21" t="str">
        <x:f>IF(A199="","",IF(OR(NOT(ISNUMBER(G199)),G199&lt;0),"Check reported quantity",IF(I199="Accepted",IF(OR(NOT(ISNUMBER(H199)),H199&lt;0,H199&gt;G199),"Check accepted quantity","Recorded"),"Not accepted")))</x:f>
      </x:c>
    </x:row>
    <x:row r="200" ht="60" customHeight="1">
      <x:c r="A200" s="11"/>
      <x:c r="B200" s="11"/>
      <x:c r="C200" s="11"/>
      <x:c r="D200" s="15"/>
      <x:c r="E200" s="11"/>
      <x:c r="F200" s="11"/>
      <x:c r="G200" s="12"/>
      <x:c r="H200" s="12"/>
      <x:c r="I200" s="11"/>
      <x:c r="J200" s="11"/>
      <x:c r="K200" s="11"/>
      <x:c r="L200" s="11"/>
      <x:c r="M200" s="15"/>
      <x:c r="N200" s="14"/>
      <x:c r="O200" s="11"/>
      <x:c r="P200" s="21" t="str">
        <x:f>IF(A200="","",IF(COUNTIFS($A$7:$A$206,A200,$B$7:$B$206,B200)&lt;&gt;1,"Duplicate event ID",IF(I200&lt;&gt;"Accepted","Review pending",IF(OR(J200="",L200="",NOT(ISNUMBER(M200)),M200&lt;=0,NOT(ISNUMBER(D200)),D200&lt;=0),"Missing approval evidence","Recorded - verify authority"))))</x:f>
      </x:c>
      <x:c r="Q200" s="21" t="str">
        <x:f>IF(A200="","",IF(COUNTIFS(WBS!$A$7:$A$206,C200,WBS!$B$7:$B$206,B200,WBS!$D$7:$D$206,F200)=1,"Matched","Check WBS / unit"))</x:f>
      </x:c>
      <x:c r="R200" s="21" t="str">
        <x:f>IF(A200="","",IF(OR(NOT(ISNUMBER(G200)),G200&lt;0),"Check reported quantity",IF(I200="Accepted",IF(OR(NOT(ISNUMBER(H200)),H200&lt;0,H200&gt;G200),"Check accepted quantity","Recorded"),"Not accepted")))</x:f>
      </x:c>
    </x:row>
    <x:row r="201" ht="60" customHeight="1">
      <x:c r="A201" s="11"/>
      <x:c r="B201" s="11"/>
      <x:c r="C201" s="11"/>
      <x:c r="D201" s="15"/>
      <x:c r="E201" s="11"/>
      <x:c r="F201" s="11"/>
      <x:c r="G201" s="12"/>
      <x:c r="H201" s="12"/>
      <x:c r="I201" s="11"/>
      <x:c r="J201" s="11"/>
      <x:c r="K201" s="11"/>
      <x:c r="L201" s="11"/>
      <x:c r="M201" s="15"/>
      <x:c r="N201" s="14"/>
      <x:c r="O201" s="11"/>
      <x:c r="P201" s="21" t="str">
        <x:f>IF(A201="","",IF(COUNTIFS($A$7:$A$206,A201,$B$7:$B$206,B201)&lt;&gt;1,"Duplicate event ID",IF(I201&lt;&gt;"Accepted","Review pending",IF(OR(J201="",L201="",NOT(ISNUMBER(M201)),M201&lt;=0,NOT(ISNUMBER(D201)),D201&lt;=0),"Missing approval evidence","Recorded - verify authority"))))</x:f>
      </x:c>
      <x:c r="Q201" s="21" t="str">
        <x:f>IF(A201="","",IF(COUNTIFS(WBS!$A$7:$A$206,C201,WBS!$B$7:$B$206,B201,WBS!$D$7:$D$206,F201)=1,"Matched","Check WBS / unit"))</x:f>
      </x:c>
      <x:c r="R201" s="21" t="str">
        <x:f>IF(A201="","",IF(OR(NOT(ISNUMBER(G201)),G201&lt;0),"Check reported quantity",IF(I201="Accepted",IF(OR(NOT(ISNUMBER(H201)),H201&lt;0,H201&gt;G201),"Check accepted quantity","Recorded"),"Not accepted")))</x:f>
      </x:c>
    </x:row>
    <x:row r="202" ht="60" customHeight="1">
      <x:c r="A202" s="11"/>
      <x:c r="B202" s="11"/>
      <x:c r="C202" s="11"/>
      <x:c r="D202" s="15"/>
      <x:c r="E202" s="11"/>
      <x:c r="F202" s="11"/>
      <x:c r="G202" s="12"/>
      <x:c r="H202" s="12"/>
      <x:c r="I202" s="11"/>
      <x:c r="J202" s="11"/>
      <x:c r="K202" s="11"/>
      <x:c r="L202" s="11"/>
      <x:c r="M202" s="15"/>
      <x:c r="N202" s="14"/>
      <x:c r="O202" s="11"/>
      <x:c r="P202" s="21" t="str">
        <x:f>IF(A202="","",IF(COUNTIFS($A$7:$A$206,A202,$B$7:$B$206,B202)&lt;&gt;1,"Duplicate event ID",IF(I202&lt;&gt;"Accepted","Review pending",IF(OR(J202="",L202="",NOT(ISNUMBER(M202)),M202&lt;=0,NOT(ISNUMBER(D202)),D202&lt;=0),"Missing approval evidence","Recorded - verify authority"))))</x:f>
      </x:c>
      <x:c r="Q202" s="21" t="str">
        <x:f>IF(A202="","",IF(COUNTIFS(WBS!$A$7:$A$206,C202,WBS!$B$7:$B$206,B202,WBS!$D$7:$D$206,F202)=1,"Matched","Check WBS / unit"))</x:f>
      </x:c>
      <x:c r="R202" s="21" t="str">
        <x:f>IF(A202="","",IF(OR(NOT(ISNUMBER(G202)),G202&lt;0),"Check reported quantity",IF(I202="Accepted",IF(OR(NOT(ISNUMBER(H202)),H202&lt;0,H202&gt;G202),"Check accepted quantity","Recorded"),"Not accepted")))</x:f>
      </x:c>
    </x:row>
    <x:row r="203" ht="60" customHeight="1">
      <x:c r="A203" s="11"/>
      <x:c r="B203" s="11"/>
      <x:c r="C203" s="11"/>
      <x:c r="D203" s="15"/>
      <x:c r="E203" s="11"/>
      <x:c r="F203" s="11"/>
      <x:c r="G203" s="12"/>
      <x:c r="H203" s="12"/>
      <x:c r="I203" s="11"/>
      <x:c r="J203" s="11"/>
      <x:c r="K203" s="11"/>
      <x:c r="L203" s="11"/>
      <x:c r="M203" s="15"/>
      <x:c r="N203" s="14"/>
      <x:c r="O203" s="11"/>
      <x:c r="P203" s="21" t="str">
        <x:f>IF(A203="","",IF(COUNTIFS($A$7:$A$206,A203,$B$7:$B$206,B203)&lt;&gt;1,"Duplicate event ID",IF(I203&lt;&gt;"Accepted","Review pending",IF(OR(J203="",L203="",NOT(ISNUMBER(M203)),M203&lt;=0,NOT(ISNUMBER(D203)),D203&lt;=0),"Missing approval evidence","Recorded - verify authority"))))</x:f>
      </x:c>
      <x:c r="Q203" s="21" t="str">
        <x:f>IF(A203="","",IF(COUNTIFS(WBS!$A$7:$A$206,C203,WBS!$B$7:$B$206,B203,WBS!$D$7:$D$206,F203)=1,"Matched","Check WBS / unit"))</x:f>
      </x:c>
      <x:c r="R203" s="21" t="str">
        <x:f>IF(A203="","",IF(OR(NOT(ISNUMBER(G203)),G203&lt;0),"Check reported quantity",IF(I203="Accepted",IF(OR(NOT(ISNUMBER(H203)),H203&lt;0,H203&gt;G203),"Check accepted quantity","Recorded"),"Not accepted")))</x:f>
      </x:c>
    </x:row>
    <x:row r="204" ht="60" customHeight="1">
      <x:c r="A204" s="11"/>
      <x:c r="B204" s="11"/>
      <x:c r="C204" s="11"/>
      <x:c r="D204" s="15"/>
      <x:c r="E204" s="11"/>
      <x:c r="F204" s="11"/>
      <x:c r="G204" s="12"/>
      <x:c r="H204" s="12"/>
      <x:c r="I204" s="11"/>
      <x:c r="J204" s="11"/>
      <x:c r="K204" s="11"/>
      <x:c r="L204" s="11"/>
      <x:c r="M204" s="15"/>
      <x:c r="N204" s="14"/>
      <x:c r="O204" s="11"/>
      <x:c r="P204" s="21" t="str">
        <x:f>IF(A204="","",IF(COUNTIFS($A$7:$A$206,A204,$B$7:$B$206,B204)&lt;&gt;1,"Duplicate event ID",IF(I204&lt;&gt;"Accepted","Review pending",IF(OR(J204="",L204="",NOT(ISNUMBER(M204)),M204&lt;=0,NOT(ISNUMBER(D204)),D204&lt;=0),"Missing approval evidence","Recorded - verify authority"))))</x:f>
      </x:c>
      <x:c r="Q204" s="21" t="str">
        <x:f>IF(A204="","",IF(COUNTIFS(WBS!$A$7:$A$206,C204,WBS!$B$7:$B$206,B204,WBS!$D$7:$D$206,F204)=1,"Matched","Check WBS / unit"))</x:f>
      </x:c>
      <x:c r="R204" s="21" t="str">
        <x:f>IF(A204="","",IF(OR(NOT(ISNUMBER(G204)),G204&lt;0),"Check reported quantity",IF(I204="Accepted",IF(OR(NOT(ISNUMBER(H204)),H204&lt;0,H204&gt;G204),"Check accepted quantity","Recorded"),"Not accepted")))</x:f>
      </x:c>
    </x:row>
    <x:row r="205" ht="60" customHeight="1">
      <x:c r="A205" s="11"/>
      <x:c r="B205" s="11"/>
      <x:c r="C205" s="11"/>
      <x:c r="D205" s="15"/>
      <x:c r="E205" s="11"/>
      <x:c r="F205" s="11"/>
      <x:c r="G205" s="12"/>
      <x:c r="H205" s="12"/>
      <x:c r="I205" s="11"/>
      <x:c r="J205" s="11"/>
      <x:c r="K205" s="11"/>
      <x:c r="L205" s="11"/>
      <x:c r="M205" s="15"/>
      <x:c r="N205" s="14"/>
      <x:c r="O205" s="11"/>
      <x:c r="P205" s="21" t="str">
        <x:f>IF(A205="","",IF(COUNTIFS($A$7:$A$206,A205,$B$7:$B$206,B205)&lt;&gt;1,"Duplicate event ID",IF(I205&lt;&gt;"Accepted","Review pending",IF(OR(J205="",L205="",NOT(ISNUMBER(M205)),M205&lt;=0,NOT(ISNUMBER(D205)),D205&lt;=0),"Missing approval evidence","Recorded - verify authority"))))</x:f>
      </x:c>
      <x:c r="Q205" s="21" t="str">
        <x:f>IF(A205="","",IF(COUNTIFS(WBS!$A$7:$A$206,C205,WBS!$B$7:$B$206,B205,WBS!$D$7:$D$206,F205)=1,"Matched","Check WBS / unit"))</x:f>
      </x:c>
      <x:c r="R205" s="21" t="str">
        <x:f>IF(A205="","",IF(OR(NOT(ISNUMBER(G205)),G205&lt;0),"Check reported quantity",IF(I205="Accepted",IF(OR(NOT(ISNUMBER(H205)),H205&lt;0,H205&gt;G205),"Check accepted quantity","Recorded"),"Not accepted")))</x:f>
      </x:c>
    </x:row>
    <x:row r="206" ht="60" customHeight="1">
      <x:c r="A206" s="11"/>
      <x:c r="B206" s="11"/>
      <x:c r="C206" s="11"/>
      <x:c r="D206" s="15"/>
      <x:c r="E206" s="11"/>
      <x:c r="F206" s="11"/>
      <x:c r="G206" s="12"/>
      <x:c r="H206" s="12"/>
      <x:c r="I206" s="11"/>
      <x:c r="J206" s="11"/>
      <x:c r="K206" s="11"/>
      <x:c r="L206" s="11"/>
      <x:c r="M206" s="15"/>
      <x:c r="N206" s="14"/>
      <x:c r="O206" s="11"/>
      <x:c r="P206" s="21" t="str">
        <x:f>IF(A206="","",IF(COUNTIFS($A$7:$A$206,A206,$B$7:$B$206,B206)&lt;&gt;1,"Duplicate event ID",IF(I206&lt;&gt;"Accepted","Review pending",IF(OR(J206="",L206="",NOT(ISNUMBER(M206)),M206&lt;=0,NOT(ISNUMBER(D206)),D206&lt;=0),"Missing approval evidence","Recorded - verify authority"))))</x:f>
      </x:c>
      <x:c r="Q206" s="21" t="str">
        <x:f>IF(A206="","",IF(COUNTIFS(WBS!$A$7:$A$206,C206,WBS!$B$7:$B$206,B206,WBS!$D$7:$D$206,F206)=1,"Matched","Check WBS / unit"))</x:f>
      </x:c>
      <x:c r="R206" s="21" t="str">
        <x:f>IF(A206="","",IF(OR(NOT(ISNUMBER(G206)),G206&lt;0),"Check reported quantity",IF(I206="Accepted",IF(OR(NOT(ISNUMBER(H206)),H206&lt;0,H206&gt;G206),"Check accepted quantity","Recorded"),"Not accepted")))</x:f>
      </x:c>
    </x:row>
  </x:sheetData>
  <x:conditionalFormatting sqref="I7:I206">
    <x:cfRule type="containsText" dxfId="0" priority="1" operator="containsText" text="Conflict"/>
  </x:conditionalFormatting>
  <x:dataValidations count="1">
    <x:dataValidation type="list" sqref="I7:I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0461b29f154fa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2" t="str">
        <x:v>Project startup and kickoff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42" customHeight="1">
      <x:c r="A6" s="8" t="str">
        <x:v>Item ID</x:v>
      </x:c>
      <x:c r="B6" s="8" t="str">
        <x:v>Project ID</x:v>
      </x:c>
      <x:c r="C6" s="8" t="str">
        <x:v>Item</x:v>
      </x:c>
      <x:c r="D6" s="8" t="str">
        <x:v>Owner</x:v>
      </x:c>
      <x:c r="E6" s="8" t="str">
        <x:v>Due Date</x:v>
      </x:c>
      <x:c r="F6" s="8" t="str">
        <x:v>Status</x:v>
      </x:c>
      <x:c r="G6" s="8" t="str">
        <x:v>Evidence Reference</x:v>
      </x:c>
      <x:c r="H6" s="8" t="str">
        <x:v>Reviewer</x:v>
      </x:c>
      <x:c r="I6" s="8" t="str">
        <x:v>Review Date</x:v>
      </x:c>
      <x:c r="J6" s="8" t="str">
        <x:v>Revision</x:v>
      </x:c>
      <x:c r="K6" s="8" t="str">
        <x:v>Source Reference</x:v>
      </x:c>
    </x:row>
    <x:row r="7" ht="60" customHeight="1">
      <x:c r="A7" s="11"/>
      <x:c r="B7" s="11"/>
      <x:c r="C7" s="11"/>
      <x:c r="D7" s="11"/>
      <x:c r="E7" s="15"/>
      <x:c r="F7" s="11"/>
      <x:c r="G7" s="11"/>
      <x:c r="H7" s="11"/>
      <x:c r="I7" s="15"/>
      <x:c r="J7" s="14"/>
      <x:c r="K7" s="11"/>
    </x:row>
    <x:row r="8" ht="60" customHeight="1">
      <x:c r="A8" s="11"/>
      <x:c r="B8" s="11"/>
      <x:c r="C8" s="11"/>
      <x:c r="D8" s="11"/>
      <x:c r="E8" s="15"/>
      <x:c r="F8" s="11"/>
      <x:c r="G8" s="11"/>
      <x:c r="H8" s="11"/>
      <x:c r="I8" s="15"/>
      <x:c r="J8" s="14"/>
      <x:c r="K8" s="11"/>
    </x:row>
    <x:row r="9" ht="60" customHeight="1">
      <x:c r="A9" s="11"/>
      <x:c r="B9" s="11"/>
      <x:c r="C9" s="11"/>
      <x:c r="D9" s="11"/>
      <x:c r="E9" s="15"/>
      <x:c r="F9" s="11"/>
      <x:c r="G9" s="11"/>
      <x:c r="H9" s="11"/>
      <x:c r="I9" s="15"/>
      <x:c r="J9" s="14"/>
      <x:c r="K9" s="11"/>
    </x:row>
    <x:row r="10" ht="60" customHeight="1">
      <x:c r="A10" s="11"/>
      <x:c r="B10" s="11"/>
      <x:c r="C10" s="11"/>
      <x:c r="D10" s="11"/>
      <x:c r="E10" s="15"/>
      <x:c r="F10" s="11"/>
      <x:c r="G10" s="11"/>
      <x:c r="H10" s="11"/>
      <x:c r="I10" s="15"/>
      <x:c r="J10" s="14"/>
      <x:c r="K10" s="11"/>
    </x:row>
    <x:row r="11" ht="60" customHeight="1">
      <x:c r="A11" s="11"/>
      <x:c r="B11" s="11"/>
      <x:c r="C11" s="11"/>
      <x:c r="D11" s="11"/>
      <x:c r="E11" s="15"/>
      <x:c r="F11" s="11"/>
      <x:c r="G11" s="11"/>
      <x:c r="H11" s="11"/>
      <x:c r="I11" s="15"/>
      <x:c r="J11" s="14"/>
      <x:c r="K11" s="11"/>
    </x:row>
    <x:row r="12" ht="60" customHeight="1">
      <x:c r="A12" s="11"/>
      <x:c r="B12" s="11"/>
      <x:c r="C12" s="11"/>
      <x:c r="D12" s="11"/>
      <x:c r="E12" s="15"/>
      <x:c r="F12" s="11"/>
      <x:c r="G12" s="11"/>
      <x:c r="H12" s="11"/>
      <x:c r="I12" s="15"/>
      <x:c r="J12" s="14"/>
      <x:c r="K12" s="11"/>
    </x:row>
    <x:row r="13" ht="60" customHeight="1">
      <x:c r="A13" s="11"/>
      <x:c r="B13" s="11"/>
      <x:c r="C13" s="11"/>
      <x:c r="D13" s="11"/>
      <x:c r="E13" s="15"/>
      <x:c r="F13" s="11"/>
      <x:c r="G13" s="11"/>
      <x:c r="H13" s="11"/>
      <x:c r="I13" s="15"/>
      <x:c r="J13" s="14"/>
      <x:c r="K13" s="11"/>
    </x:row>
    <x:row r="14" ht="60" customHeight="1">
      <x:c r="A14" s="11"/>
      <x:c r="B14" s="11"/>
      <x:c r="C14" s="11"/>
      <x:c r="D14" s="11"/>
      <x:c r="E14" s="15"/>
      <x:c r="F14" s="11"/>
      <x:c r="G14" s="11"/>
      <x:c r="H14" s="11"/>
      <x:c r="I14" s="15"/>
      <x:c r="J14" s="14"/>
      <x:c r="K14" s="11"/>
    </x:row>
    <x:row r="15" ht="60" customHeight="1">
      <x:c r="A15" s="11"/>
      <x:c r="B15" s="11"/>
      <x:c r="C15" s="11"/>
      <x:c r="D15" s="11"/>
      <x:c r="E15" s="15"/>
      <x:c r="F15" s="11"/>
      <x:c r="G15" s="11"/>
      <x:c r="H15" s="11"/>
      <x:c r="I15" s="15"/>
      <x:c r="J15" s="14"/>
      <x:c r="K15" s="11"/>
    </x:row>
    <x:row r="16" ht="60" customHeight="1">
      <x:c r="A16" s="11"/>
      <x:c r="B16" s="11"/>
      <x:c r="C16" s="11"/>
      <x:c r="D16" s="11"/>
      <x:c r="E16" s="15"/>
      <x:c r="F16" s="11"/>
      <x:c r="G16" s="11"/>
      <x:c r="H16" s="11"/>
      <x:c r="I16" s="15"/>
      <x:c r="J16" s="14"/>
      <x:c r="K16" s="11"/>
    </x:row>
    <x:row r="17" ht="60" customHeight="1">
      <x:c r="A17" s="11"/>
      <x:c r="B17" s="11"/>
      <x:c r="C17" s="11"/>
      <x:c r="D17" s="11"/>
      <x:c r="E17" s="15"/>
      <x:c r="F17" s="11"/>
      <x:c r="G17" s="11"/>
      <x:c r="H17" s="11"/>
      <x:c r="I17" s="15"/>
      <x:c r="J17" s="14"/>
      <x:c r="K17" s="11"/>
    </x:row>
    <x:row r="18" ht="60" customHeight="1">
      <x:c r="A18" s="11"/>
      <x:c r="B18" s="11"/>
      <x:c r="C18" s="11"/>
      <x:c r="D18" s="11"/>
      <x:c r="E18" s="15"/>
      <x:c r="F18" s="11"/>
      <x:c r="G18" s="11"/>
      <x:c r="H18" s="11"/>
      <x:c r="I18" s="15"/>
      <x:c r="J18" s="14"/>
      <x:c r="K18" s="11"/>
    </x:row>
    <x:row r="19" ht="60" customHeight="1">
      <x:c r="A19" s="11"/>
      <x:c r="B19" s="11"/>
      <x:c r="C19" s="11"/>
      <x:c r="D19" s="11"/>
      <x:c r="E19" s="15"/>
      <x:c r="F19" s="11"/>
      <x:c r="G19" s="11"/>
      <x:c r="H19" s="11"/>
      <x:c r="I19" s="15"/>
      <x:c r="J19" s="14"/>
      <x:c r="K19" s="11"/>
    </x:row>
    <x:row r="20" ht="60" customHeight="1">
      <x:c r="A20" s="11"/>
      <x:c r="B20" s="11"/>
      <x:c r="C20" s="11"/>
      <x:c r="D20" s="11"/>
      <x:c r="E20" s="15"/>
      <x:c r="F20" s="11"/>
      <x:c r="G20" s="11"/>
      <x:c r="H20" s="11"/>
      <x:c r="I20" s="15"/>
      <x:c r="J20" s="14"/>
      <x:c r="K20" s="11"/>
    </x:row>
    <x:row r="21" ht="60" customHeight="1">
      <x:c r="A21" s="11"/>
      <x:c r="B21" s="11"/>
      <x:c r="C21" s="11"/>
      <x:c r="D21" s="11"/>
      <x:c r="E21" s="15"/>
      <x:c r="F21" s="11"/>
      <x:c r="G21" s="11"/>
      <x:c r="H21" s="11"/>
      <x:c r="I21" s="15"/>
      <x:c r="J21" s="14"/>
      <x:c r="K21" s="11"/>
    </x:row>
    <x:row r="22" ht="60" customHeight="1">
      <x:c r="A22" s="11"/>
      <x:c r="B22" s="11"/>
      <x:c r="C22" s="11"/>
      <x:c r="D22" s="11"/>
      <x:c r="E22" s="15"/>
      <x:c r="F22" s="11"/>
      <x:c r="G22" s="11"/>
      <x:c r="H22" s="11"/>
      <x:c r="I22" s="15"/>
      <x:c r="J22" s="14"/>
      <x:c r="K22" s="11"/>
    </x:row>
    <x:row r="23" ht="60" customHeight="1">
      <x:c r="A23" s="11"/>
      <x:c r="B23" s="11"/>
      <x:c r="C23" s="11"/>
      <x:c r="D23" s="11"/>
      <x:c r="E23" s="15"/>
      <x:c r="F23" s="11"/>
      <x:c r="G23" s="11"/>
      <x:c r="H23" s="11"/>
      <x:c r="I23" s="15"/>
      <x:c r="J23" s="14"/>
      <x:c r="K23" s="11"/>
    </x:row>
    <x:row r="24" ht="60" customHeight="1">
      <x:c r="A24" s="11"/>
      <x:c r="B24" s="11"/>
      <x:c r="C24" s="11"/>
      <x:c r="D24" s="11"/>
      <x:c r="E24" s="15"/>
      <x:c r="F24" s="11"/>
      <x:c r="G24" s="11"/>
      <x:c r="H24" s="11"/>
      <x:c r="I24" s="15"/>
      <x:c r="J24" s="14"/>
      <x:c r="K24" s="11"/>
    </x:row>
    <x:row r="25" ht="60" customHeight="1">
      <x:c r="A25" s="11"/>
      <x:c r="B25" s="11"/>
      <x:c r="C25" s="11"/>
      <x:c r="D25" s="11"/>
      <x:c r="E25" s="15"/>
      <x:c r="F25" s="11"/>
      <x:c r="G25" s="11"/>
      <x:c r="H25" s="11"/>
      <x:c r="I25" s="15"/>
      <x:c r="J25" s="14"/>
      <x:c r="K25" s="11"/>
    </x:row>
    <x:row r="26" ht="60" customHeight="1">
      <x:c r="A26" s="11"/>
      <x:c r="B26" s="11"/>
      <x:c r="C26" s="11"/>
      <x:c r="D26" s="11"/>
      <x:c r="E26" s="15"/>
      <x:c r="F26" s="11"/>
      <x:c r="G26" s="11"/>
      <x:c r="H26" s="11"/>
      <x:c r="I26" s="15"/>
      <x:c r="J26" s="14"/>
      <x:c r="K26" s="11"/>
    </x:row>
    <x:row r="27" ht="60" customHeight="1">
      <x:c r="A27" s="11"/>
      <x:c r="B27" s="11"/>
      <x:c r="C27" s="11"/>
      <x:c r="D27" s="11"/>
      <x:c r="E27" s="15"/>
      <x:c r="F27" s="11"/>
      <x:c r="G27" s="11"/>
      <x:c r="H27" s="11"/>
      <x:c r="I27" s="15"/>
      <x:c r="J27" s="14"/>
      <x:c r="K27" s="11"/>
    </x:row>
    <x:row r="28" ht="60" customHeight="1">
      <x:c r="A28" s="11"/>
      <x:c r="B28" s="11"/>
      <x:c r="C28" s="11"/>
      <x:c r="D28" s="11"/>
      <x:c r="E28" s="15"/>
      <x:c r="F28" s="11"/>
      <x:c r="G28" s="11"/>
      <x:c r="H28" s="11"/>
      <x:c r="I28" s="15"/>
      <x:c r="J28" s="14"/>
      <x:c r="K28" s="11"/>
    </x:row>
    <x:row r="29" ht="60" customHeight="1">
      <x:c r="A29" s="11"/>
      <x:c r="B29" s="11"/>
      <x:c r="C29" s="11"/>
      <x:c r="D29" s="11"/>
      <x:c r="E29" s="15"/>
      <x:c r="F29" s="11"/>
      <x:c r="G29" s="11"/>
      <x:c r="H29" s="11"/>
      <x:c r="I29" s="15"/>
      <x:c r="J29" s="14"/>
      <x:c r="K29" s="11"/>
    </x:row>
    <x:row r="30" ht="60" customHeight="1">
      <x:c r="A30" s="11"/>
      <x:c r="B30" s="11"/>
      <x:c r="C30" s="11"/>
      <x:c r="D30" s="11"/>
      <x:c r="E30" s="15"/>
      <x:c r="F30" s="11"/>
      <x:c r="G30" s="11"/>
      <x:c r="H30" s="11"/>
      <x:c r="I30" s="15"/>
      <x:c r="J30" s="14"/>
      <x:c r="K30" s="11"/>
    </x:row>
    <x:row r="31" ht="60" customHeight="1">
      <x:c r="A31" s="11"/>
      <x:c r="B31" s="11"/>
      <x:c r="C31" s="11"/>
      <x:c r="D31" s="11"/>
      <x:c r="E31" s="15"/>
      <x:c r="F31" s="11"/>
      <x:c r="G31" s="11"/>
      <x:c r="H31" s="11"/>
      <x:c r="I31" s="15"/>
      <x:c r="J31" s="14"/>
      <x:c r="K31" s="11"/>
    </x:row>
    <x:row r="32" ht="60" customHeight="1">
      <x:c r="A32" s="11"/>
      <x:c r="B32" s="11"/>
      <x:c r="C32" s="11"/>
      <x:c r="D32" s="11"/>
      <x:c r="E32" s="15"/>
      <x:c r="F32" s="11"/>
      <x:c r="G32" s="11"/>
      <x:c r="H32" s="11"/>
      <x:c r="I32" s="15"/>
      <x:c r="J32" s="14"/>
      <x:c r="K32" s="11"/>
    </x:row>
    <x:row r="33" ht="60" customHeight="1">
      <x:c r="A33" s="11"/>
      <x:c r="B33" s="11"/>
      <x:c r="C33" s="11"/>
      <x:c r="D33" s="11"/>
      <x:c r="E33" s="15"/>
      <x:c r="F33" s="11"/>
      <x:c r="G33" s="11"/>
      <x:c r="H33" s="11"/>
      <x:c r="I33" s="15"/>
      <x:c r="J33" s="14"/>
      <x:c r="K33" s="11"/>
    </x:row>
    <x:row r="34" ht="60" customHeight="1">
      <x:c r="A34" s="11"/>
      <x:c r="B34" s="11"/>
      <x:c r="C34" s="11"/>
      <x:c r="D34" s="11"/>
      <x:c r="E34" s="15"/>
      <x:c r="F34" s="11"/>
      <x:c r="G34" s="11"/>
      <x:c r="H34" s="11"/>
      <x:c r="I34" s="15"/>
      <x:c r="J34" s="14"/>
      <x:c r="K34" s="11"/>
    </x:row>
    <x:row r="35" ht="60" customHeight="1">
      <x:c r="A35" s="11"/>
      <x:c r="B35" s="11"/>
      <x:c r="C35" s="11"/>
      <x:c r="D35" s="11"/>
      <x:c r="E35" s="15"/>
      <x:c r="F35" s="11"/>
      <x:c r="G35" s="11"/>
      <x:c r="H35" s="11"/>
      <x:c r="I35" s="15"/>
      <x:c r="J35" s="14"/>
      <x:c r="K35" s="11"/>
    </x:row>
    <x:row r="36" ht="60" customHeight="1">
      <x:c r="A36" s="11"/>
      <x:c r="B36" s="11"/>
      <x:c r="C36" s="11"/>
      <x:c r="D36" s="11"/>
      <x:c r="E36" s="15"/>
      <x:c r="F36" s="11"/>
      <x:c r="G36" s="11"/>
      <x:c r="H36" s="11"/>
      <x:c r="I36" s="15"/>
      <x:c r="J36" s="14"/>
      <x:c r="K36" s="11"/>
    </x:row>
    <x:row r="37" ht="60" customHeight="1">
      <x:c r="A37" s="11"/>
      <x:c r="B37" s="11"/>
      <x:c r="C37" s="11"/>
      <x:c r="D37" s="11"/>
      <x:c r="E37" s="15"/>
      <x:c r="F37" s="11"/>
      <x:c r="G37" s="11"/>
      <x:c r="H37" s="11"/>
      <x:c r="I37" s="15"/>
      <x:c r="J37" s="14"/>
      <x:c r="K37" s="11"/>
    </x:row>
    <x:row r="38" ht="60" customHeight="1">
      <x:c r="A38" s="11"/>
      <x:c r="B38" s="11"/>
      <x:c r="C38" s="11"/>
      <x:c r="D38" s="11"/>
      <x:c r="E38" s="15"/>
      <x:c r="F38" s="11"/>
      <x:c r="G38" s="11"/>
      <x:c r="H38" s="11"/>
      <x:c r="I38" s="15"/>
      <x:c r="J38" s="14"/>
      <x:c r="K38" s="11"/>
    </x:row>
    <x:row r="39" ht="60" customHeight="1">
      <x:c r="A39" s="11"/>
      <x:c r="B39" s="11"/>
      <x:c r="C39" s="11"/>
      <x:c r="D39" s="11"/>
      <x:c r="E39" s="15"/>
      <x:c r="F39" s="11"/>
      <x:c r="G39" s="11"/>
      <x:c r="H39" s="11"/>
      <x:c r="I39" s="15"/>
      <x:c r="J39" s="14"/>
      <x:c r="K39" s="11"/>
    </x:row>
    <x:row r="40" ht="60" customHeight="1">
      <x:c r="A40" s="11"/>
      <x:c r="B40" s="11"/>
      <x:c r="C40" s="11"/>
      <x:c r="D40" s="11"/>
      <x:c r="E40" s="15"/>
      <x:c r="F40" s="11"/>
      <x:c r="G40" s="11"/>
      <x:c r="H40" s="11"/>
      <x:c r="I40" s="15"/>
      <x:c r="J40" s="14"/>
      <x:c r="K40" s="11"/>
    </x:row>
    <x:row r="41" ht="60" customHeight="1">
      <x:c r="A41" s="11"/>
      <x:c r="B41" s="11"/>
      <x:c r="C41" s="11"/>
      <x:c r="D41" s="11"/>
      <x:c r="E41" s="15"/>
      <x:c r="F41" s="11"/>
      <x:c r="G41" s="11"/>
      <x:c r="H41" s="11"/>
      <x:c r="I41" s="15"/>
      <x:c r="J41" s="14"/>
      <x:c r="K41" s="11"/>
    </x:row>
    <x:row r="42" ht="60" customHeight="1">
      <x:c r="A42" s="11"/>
      <x:c r="B42" s="11"/>
      <x:c r="C42" s="11"/>
      <x:c r="D42" s="11"/>
      <x:c r="E42" s="15"/>
      <x:c r="F42" s="11"/>
      <x:c r="G42" s="11"/>
      <x:c r="H42" s="11"/>
      <x:c r="I42" s="15"/>
      <x:c r="J42" s="14"/>
      <x:c r="K42" s="11"/>
    </x:row>
    <x:row r="43" ht="60" customHeight="1">
      <x:c r="A43" s="11"/>
      <x:c r="B43" s="11"/>
      <x:c r="C43" s="11"/>
      <x:c r="D43" s="11"/>
      <x:c r="E43" s="15"/>
      <x:c r="F43" s="11"/>
      <x:c r="G43" s="11"/>
      <x:c r="H43" s="11"/>
      <x:c r="I43" s="15"/>
      <x:c r="J43" s="14"/>
      <x:c r="K43" s="11"/>
    </x:row>
    <x:row r="44" ht="60" customHeight="1">
      <x:c r="A44" s="11"/>
      <x:c r="B44" s="11"/>
      <x:c r="C44" s="11"/>
      <x:c r="D44" s="11"/>
      <x:c r="E44" s="15"/>
      <x:c r="F44" s="11"/>
      <x:c r="G44" s="11"/>
      <x:c r="H44" s="11"/>
      <x:c r="I44" s="15"/>
      <x:c r="J44" s="14"/>
      <x:c r="K44" s="11"/>
    </x:row>
    <x:row r="45" ht="60" customHeight="1">
      <x:c r="A45" s="11"/>
      <x:c r="B45" s="11"/>
      <x:c r="C45" s="11"/>
      <x:c r="D45" s="11"/>
      <x:c r="E45" s="15"/>
      <x:c r="F45" s="11"/>
      <x:c r="G45" s="11"/>
      <x:c r="H45" s="11"/>
      <x:c r="I45" s="15"/>
      <x:c r="J45" s="14"/>
      <x:c r="K45" s="11"/>
    </x:row>
    <x:row r="46" ht="60" customHeight="1">
      <x:c r="A46" s="11"/>
      <x:c r="B46" s="11"/>
      <x:c r="C46" s="11"/>
      <x:c r="D46" s="11"/>
      <x:c r="E46" s="15"/>
      <x:c r="F46" s="11"/>
      <x:c r="G46" s="11"/>
      <x:c r="H46" s="11"/>
      <x:c r="I46" s="15"/>
      <x:c r="J46" s="14"/>
      <x:c r="K46" s="11"/>
    </x:row>
    <x:row r="47" ht="60" customHeight="1">
      <x:c r="A47" s="11"/>
      <x:c r="B47" s="11"/>
      <x:c r="C47" s="11"/>
      <x:c r="D47" s="11"/>
      <x:c r="E47" s="15"/>
      <x:c r="F47" s="11"/>
      <x:c r="G47" s="11"/>
      <x:c r="H47" s="11"/>
      <x:c r="I47" s="15"/>
      <x:c r="J47" s="14"/>
      <x:c r="K47" s="11"/>
    </x:row>
    <x:row r="48" ht="60" customHeight="1">
      <x:c r="A48" s="11"/>
      <x:c r="B48" s="11"/>
      <x:c r="C48" s="11"/>
      <x:c r="D48" s="11"/>
      <x:c r="E48" s="15"/>
      <x:c r="F48" s="11"/>
      <x:c r="G48" s="11"/>
      <x:c r="H48" s="11"/>
      <x:c r="I48" s="15"/>
      <x:c r="J48" s="14"/>
      <x:c r="K48" s="11"/>
    </x:row>
    <x:row r="49" ht="60" customHeight="1">
      <x:c r="A49" s="11"/>
      <x:c r="B49" s="11"/>
      <x:c r="C49" s="11"/>
      <x:c r="D49" s="11"/>
      <x:c r="E49" s="15"/>
      <x:c r="F49" s="11"/>
      <x:c r="G49" s="11"/>
      <x:c r="H49" s="11"/>
      <x:c r="I49" s="15"/>
      <x:c r="J49" s="14"/>
      <x:c r="K49" s="11"/>
    </x:row>
    <x:row r="50" ht="60" customHeight="1">
      <x:c r="A50" s="11"/>
      <x:c r="B50" s="11"/>
      <x:c r="C50" s="11"/>
      <x:c r="D50" s="11"/>
      <x:c r="E50" s="15"/>
      <x:c r="F50" s="11"/>
      <x:c r="G50" s="11"/>
      <x:c r="H50" s="11"/>
      <x:c r="I50" s="15"/>
      <x:c r="J50" s="14"/>
      <x:c r="K50" s="11"/>
    </x:row>
    <x:row r="51" ht="60" customHeight="1">
      <x:c r="A51" s="11"/>
      <x:c r="B51" s="11"/>
      <x:c r="C51" s="11"/>
      <x:c r="D51" s="11"/>
      <x:c r="E51" s="15"/>
      <x:c r="F51" s="11"/>
      <x:c r="G51" s="11"/>
      <x:c r="H51" s="11"/>
      <x:c r="I51" s="15"/>
      <x:c r="J51" s="14"/>
      <x:c r="K51" s="11"/>
    </x:row>
    <x:row r="52" ht="60" customHeight="1">
      <x:c r="A52" s="11"/>
      <x:c r="B52" s="11"/>
      <x:c r="C52" s="11"/>
      <x:c r="D52" s="11"/>
      <x:c r="E52" s="15"/>
      <x:c r="F52" s="11"/>
      <x:c r="G52" s="11"/>
      <x:c r="H52" s="11"/>
      <x:c r="I52" s="15"/>
      <x:c r="J52" s="14"/>
      <x:c r="K52" s="11"/>
    </x:row>
    <x:row r="53" ht="60" customHeight="1">
      <x:c r="A53" s="11"/>
      <x:c r="B53" s="11"/>
      <x:c r="C53" s="11"/>
      <x:c r="D53" s="11"/>
      <x:c r="E53" s="15"/>
      <x:c r="F53" s="11"/>
      <x:c r="G53" s="11"/>
      <x:c r="H53" s="11"/>
      <x:c r="I53" s="15"/>
      <x:c r="J53" s="14"/>
      <x:c r="K53" s="11"/>
    </x:row>
    <x:row r="54" ht="60" customHeight="1">
      <x:c r="A54" s="11"/>
      <x:c r="B54" s="11"/>
      <x:c r="C54" s="11"/>
      <x:c r="D54" s="11"/>
      <x:c r="E54" s="15"/>
      <x:c r="F54" s="11"/>
      <x:c r="G54" s="11"/>
      <x:c r="H54" s="11"/>
      <x:c r="I54" s="15"/>
      <x:c r="J54" s="14"/>
      <x:c r="K54" s="11"/>
    </x:row>
    <x:row r="55" ht="60" customHeight="1">
      <x:c r="A55" s="11"/>
      <x:c r="B55" s="11"/>
      <x:c r="C55" s="11"/>
      <x:c r="D55" s="11"/>
      <x:c r="E55" s="15"/>
      <x:c r="F55" s="11"/>
      <x:c r="G55" s="11"/>
      <x:c r="H55" s="11"/>
      <x:c r="I55" s="15"/>
      <x:c r="J55" s="14"/>
      <x:c r="K55" s="11"/>
    </x:row>
    <x:row r="56" ht="60" customHeight="1">
      <x:c r="A56" s="11"/>
      <x:c r="B56" s="11"/>
      <x:c r="C56" s="11"/>
      <x:c r="D56" s="11"/>
      <x:c r="E56" s="15"/>
      <x:c r="F56" s="11"/>
      <x:c r="G56" s="11"/>
      <x:c r="H56" s="11"/>
      <x:c r="I56" s="15"/>
      <x:c r="J56" s="14"/>
      <x:c r="K56" s="11"/>
    </x:row>
    <x:row r="57" ht="60" customHeight="1">
      <x:c r="A57" s="11"/>
      <x:c r="B57" s="11"/>
      <x:c r="C57" s="11"/>
      <x:c r="D57" s="11"/>
      <x:c r="E57" s="15"/>
      <x:c r="F57" s="11"/>
      <x:c r="G57" s="11"/>
      <x:c r="H57" s="11"/>
      <x:c r="I57" s="15"/>
      <x:c r="J57" s="14"/>
      <x:c r="K57" s="11"/>
    </x:row>
    <x:row r="58" ht="60" customHeight="1">
      <x:c r="A58" s="11"/>
      <x:c r="B58" s="11"/>
      <x:c r="C58" s="11"/>
      <x:c r="D58" s="11"/>
      <x:c r="E58" s="15"/>
      <x:c r="F58" s="11"/>
      <x:c r="G58" s="11"/>
      <x:c r="H58" s="11"/>
      <x:c r="I58" s="15"/>
      <x:c r="J58" s="14"/>
      <x:c r="K58" s="11"/>
    </x:row>
    <x:row r="59" ht="60" customHeight="1">
      <x:c r="A59" s="11"/>
      <x:c r="B59" s="11"/>
      <x:c r="C59" s="11"/>
      <x:c r="D59" s="11"/>
      <x:c r="E59" s="15"/>
      <x:c r="F59" s="11"/>
      <x:c r="G59" s="11"/>
      <x:c r="H59" s="11"/>
      <x:c r="I59" s="15"/>
      <x:c r="J59" s="14"/>
      <x:c r="K59" s="11"/>
    </x:row>
    <x:row r="60" ht="60" customHeight="1">
      <x:c r="A60" s="11"/>
      <x:c r="B60" s="11"/>
      <x:c r="C60" s="11"/>
      <x:c r="D60" s="11"/>
      <x:c r="E60" s="15"/>
      <x:c r="F60" s="11"/>
      <x:c r="G60" s="11"/>
      <x:c r="H60" s="11"/>
      <x:c r="I60" s="15"/>
      <x:c r="J60" s="14"/>
      <x:c r="K60" s="11"/>
    </x:row>
    <x:row r="61" ht="60" customHeight="1">
      <x:c r="A61" s="11"/>
      <x:c r="B61" s="11"/>
      <x:c r="C61" s="11"/>
      <x:c r="D61" s="11"/>
      <x:c r="E61" s="15"/>
      <x:c r="F61" s="11"/>
      <x:c r="G61" s="11"/>
      <x:c r="H61" s="11"/>
      <x:c r="I61" s="15"/>
      <x:c r="J61" s="14"/>
      <x:c r="K61" s="11"/>
    </x:row>
    <x:row r="62" ht="60" customHeight="1">
      <x:c r="A62" s="11"/>
      <x:c r="B62" s="11"/>
      <x:c r="C62" s="11"/>
      <x:c r="D62" s="11"/>
      <x:c r="E62" s="15"/>
      <x:c r="F62" s="11"/>
      <x:c r="G62" s="11"/>
      <x:c r="H62" s="11"/>
      <x:c r="I62" s="15"/>
      <x:c r="J62" s="14"/>
      <x:c r="K62" s="11"/>
    </x:row>
    <x:row r="63" ht="60" customHeight="1">
      <x:c r="A63" s="11"/>
      <x:c r="B63" s="11"/>
      <x:c r="C63" s="11"/>
      <x:c r="D63" s="11"/>
      <x:c r="E63" s="15"/>
      <x:c r="F63" s="11"/>
      <x:c r="G63" s="11"/>
      <x:c r="H63" s="11"/>
      <x:c r="I63" s="15"/>
      <x:c r="J63" s="14"/>
      <x:c r="K63" s="11"/>
    </x:row>
    <x:row r="64" ht="60" customHeight="1">
      <x:c r="A64" s="11"/>
      <x:c r="B64" s="11"/>
      <x:c r="C64" s="11"/>
      <x:c r="D64" s="11"/>
      <x:c r="E64" s="15"/>
      <x:c r="F64" s="11"/>
      <x:c r="G64" s="11"/>
      <x:c r="H64" s="11"/>
      <x:c r="I64" s="15"/>
      <x:c r="J64" s="14"/>
      <x:c r="K64" s="11"/>
    </x:row>
    <x:row r="65" ht="60" customHeight="1">
      <x:c r="A65" s="11"/>
      <x:c r="B65" s="11"/>
      <x:c r="C65" s="11"/>
      <x:c r="D65" s="11"/>
      <x:c r="E65" s="15"/>
      <x:c r="F65" s="11"/>
      <x:c r="G65" s="11"/>
      <x:c r="H65" s="11"/>
      <x:c r="I65" s="15"/>
      <x:c r="J65" s="14"/>
      <x:c r="K65" s="11"/>
    </x:row>
    <x:row r="66" ht="60" customHeight="1">
      <x:c r="A66" s="11"/>
      <x:c r="B66" s="11"/>
      <x:c r="C66" s="11"/>
      <x:c r="D66" s="11"/>
      <x:c r="E66" s="15"/>
      <x:c r="F66" s="11"/>
      <x:c r="G66" s="11"/>
      <x:c r="H66" s="11"/>
      <x:c r="I66" s="15"/>
      <x:c r="J66" s="14"/>
      <x:c r="K66" s="11"/>
    </x:row>
    <x:row r="67" ht="60" customHeight="1">
      <x:c r="A67" s="11"/>
      <x:c r="B67" s="11"/>
      <x:c r="C67" s="11"/>
      <x:c r="D67" s="11"/>
      <x:c r="E67" s="15"/>
      <x:c r="F67" s="11"/>
      <x:c r="G67" s="11"/>
      <x:c r="H67" s="11"/>
      <x:c r="I67" s="15"/>
      <x:c r="J67" s="14"/>
      <x:c r="K67" s="11"/>
    </x:row>
    <x:row r="68" ht="60" customHeight="1">
      <x:c r="A68" s="11"/>
      <x:c r="B68" s="11"/>
      <x:c r="C68" s="11"/>
      <x:c r="D68" s="11"/>
      <x:c r="E68" s="15"/>
      <x:c r="F68" s="11"/>
      <x:c r="G68" s="11"/>
      <x:c r="H68" s="11"/>
      <x:c r="I68" s="15"/>
      <x:c r="J68" s="14"/>
      <x:c r="K68" s="11"/>
    </x:row>
    <x:row r="69" ht="60" customHeight="1">
      <x:c r="A69" s="11"/>
      <x:c r="B69" s="11"/>
      <x:c r="C69" s="11"/>
      <x:c r="D69" s="11"/>
      <x:c r="E69" s="15"/>
      <x:c r="F69" s="11"/>
      <x:c r="G69" s="11"/>
      <x:c r="H69" s="11"/>
      <x:c r="I69" s="15"/>
      <x:c r="J69" s="14"/>
      <x:c r="K69" s="11"/>
    </x:row>
    <x:row r="70" ht="60" customHeight="1">
      <x:c r="A70" s="11"/>
      <x:c r="B70" s="11"/>
      <x:c r="C70" s="11"/>
      <x:c r="D70" s="11"/>
      <x:c r="E70" s="15"/>
      <x:c r="F70" s="11"/>
      <x:c r="G70" s="11"/>
      <x:c r="H70" s="11"/>
      <x:c r="I70" s="15"/>
      <x:c r="J70" s="14"/>
      <x:c r="K70" s="11"/>
    </x:row>
    <x:row r="71" ht="60" customHeight="1">
      <x:c r="A71" s="11"/>
      <x:c r="B71" s="11"/>
      <x:c r="C71" s="11"/>
      <x:c r="D71" s="11"/>
      <x:c r="E71" s="15"/>
      <x:c r="F71" s="11"/>
      <x:c r="G71" s="11"/>
      <x:c r="H71" s="11"/>
      <x:c r="I71" s="15"/>
      <x:c r="J71" s="14"/>
      <x:c r="K71" s="11"/>
    </x:row>
    <x:row r="72" ht="60" customHeight="1">
      <x:c r="A72" s="11"/>
      <x:c r="B72" s="11"/>
      <x:c r="C72" s="11"/>
      <x:c r="D72" s="11"/>
      <x:c r="E72" s="15"/>
      <x:c r="F72" s="11"/>
      <x:c r="G72" s="11"/>
      <x:c r="H72" s="11"/>
      <x:c r="I72" s="15"/>
      <x:c r="J72" s="14"/>
      <x:c r="K72" s="11"/>
    </x:row>
    <x:row r="73" ht="60" customHeight="1">
      <x:c r="A73" s="11"/>
      <x:c r="B73" s="11"/>
      <x:c r="C73" s="11"/>
      <x:c r="D73" s="11"/>
      <x:c r="E73" s="15"/>
      <x:c r="F73" s="11"/>
      <x:c r="G73" s="11"/>
      <x:c r="H73" s="11"/>
      <x:c r="I73" s="15"/>
      <x:c r="J73" s="14"/>
      <x:c r="K73" s="11"/>
    </x:row>
    <x:row r="74" ht="60" customHeight="1">
      <x:c r="A74" s="11"/>
      <x:c r="B74" s="11"/>
      <x:c r="C74" s="11"/>
      <x:c r="D74" s="11"/>
      <x:c r="E74" s="15"/>
      <x:c r="F74" s="11"/>
      <x:c r="G74" s="11"/>
      <x:c r="H74" s="11"/>
      <x:c r="I74" s="15"/>
      <x:c r="J74" s="14"/>
      <x:c r="K74" s="11"/>
    </x:row>
    <x:row r="75" ht="60" customHeight="1">
      <x:c r="A75" s="11"/>
      <x:c r="B75" s="11"/>
      <x:c r="C75" s="11"/>
      <x:c r="D75" s="11"/>
      <x:c r="E75" s="15"/>
      <x:c r="F75" s="11"/>
      <x:c r="G75" s="11"/>
      <x:c r="H75" s="11"/>
      <x:c r="I75" s="15"/>
      <x:c r="J75" s="14"/>
      <x:c r="K75" s="11"/>
    </x:row>
    <x:row r="76" ht="60" customHeight="1">
      <x:c r="A76" s="11"/>
      <x:c r="B76" s="11"/>
      <x:c r="C76" s="11"/>
      <x:c r="D76" s="11"/>
      <x:c r="E76" s="15"/>
      <x:c r="F76" s="11"/>
      <x:c r="G76" s="11"/>
      <x:c r="H76" s="11"/>
      <x:c r="I76" s="15"/>
      <x:c r="J76" s="14"/>
      <x:c r="K76" s="11"/>
    </x:row>
    <x:row r="77" ht="60" customHeight="1">
      <x:c r="A77" s="11"/>
      <x:c r="B77" s="11"/>
      <x:c r="C77" s="11"/>
      <x:c r="D77" s="11"/>
      <x:c r="E77" s="15"/>
      <x:c r="F77" s="11"/>
      <x:c r="G77" s="11"/>
      <x:c r="H77" s="11"/>
      <x:c r="I77" s="15"/>
      <x:c r="J77" s="14"/>
      <x:c r="K77" s="11"/>
    </x:row>
    <x:row r="78" ht="60" customHeight="1">
      <x:c r="A78" s="11"/>
      <x:c r="B78" s="11"/>
      <x:c r="C78" s="11"/>
      <x:c r="D78" s="11"/>
      <x:c r="E78" s="15"/>
      <x:c r="F78" s="11"/>
      <x:c r="G78" s="11"/>
      <x:c r="H78" s="11"/>
      <x:c r="I78" s="15"/>
      <x:c r="J78" s="14"/>
      <x:c r="K78" s="11"/>
    </x:row>
    <x:row r="79" ht="60" customHeight="1">
      <x:c r="A79" s="11"/>
      <x:c r="B79" s="11"/>
      <x:c r="C79" s="11"/>
      <x:c r="D79" s="11"/>
      <x:c r="E79" s="15"/>
      <x:c r="F79" s="11"/>
      <x:c r="G79" s="11"/>
      <x:c r="H79" s="11"/>
      <x:c r="I79" s="15"/>
      <x:c r="J79" s="14"/>
      <x:c r="K79" s="11"/>
    </x:row>
    <x:row r="80" ht="60" customHeight="1">
      <x:c r="A80" s="11"/>
      <x:c r="B80" s="11"/>
      <x:c r="C80" s="11"/>
      <x:c r="D80" s="11"/>
      <x:c r="E80" s="15"/>
      <x:c r="F80" s="11"/>
      <x:c r="G80" s="11"/>
      <x:c r="H80" s="11"/>
      <x:c r="I80" s="15"/>
      <x:c r="J80" s="14"/>
      <x:c r="K80" s="11"/>
    </x:row>
    <x:row r="81" ht="60" customHeight="1">
      <x:c r="A81" s="11"/>
      <x:c r="B81" s="11"/>
      <x:c r="C81" s="11"/>
      <x:c r="D81" s="11"/>
      <x:c r="E81" s="15"/>
      <x:c r="F81" s="11"/>
      <x:c r="G81" s="11"/>
      <x:c r="H81" s="11"/>
      <x:c r="I81" s="15"/>
      <x:c r="J81" s="14"/>
      <x:c r="K81" s="11"/>
    </x:row>
    <x:row r="82" ht="60" customHeight="1">
      <x:c r="A82" s="11"/>
      <x:c r="B82" s="11"/>
      <x:c r="C82" s="11"/>
      <x:c r="D82" s="11"/>
      <x:c r="E82" s="15"/>
      <x:c r="F82" s="11"/>
      <x:c r="G82" s="11"/>
      <x:c r="H82" s="11"/>
      <x:c r="I82" s="15"/>
      <x:c r="J82" s="14"/>
      <x:c r="K82" s="11"/>
    </x:row>
    <x:row r="83" ht="60" customHeight="1">
      <x:c r="A83" s="11"/>
      <x:c r="B83" s="11"/>
      <x:c r="C83" s="11"/>
      <x:c r="D83" s="11"/>
      <x:c r="E83" s="15"/>
      <x:c r="F83" s="11"/>
      <x:c r="G83" s="11"/>
      <x:c r="H83" s="11"/>
      <x:c r="I83" s="15"/>
      <x:c r="J83" s="14"/>
      <x:c r="K83" s="11"/>
    </x:row>
    <x:row r="84" ht="60" customHeight="1">
      <x:c r="A84" s="11"/>
      <x:c r="B84" s="11"/>
      <x:c r="C84" s="11"/>
      <x:c r="D84" s="11"/>
      <x:c r="E84" s="15"/>
      <x:c r="F84" s="11"/>
      <x:c r="G84" s="11"/>
      <x:c r="H84" s="11"/>
      <x:c r="I84" s="15"/>
      <x:c r="J84" s="14"/>
      <x:c r="K84" s="11"/>
    </x:row>
    <x:row r="85" ht="60" customHeight="1">
      <x:c r="A85" s="11"/>
      <x:c r="B85" s="11"/>
      <x:c r="C85" s="11"/>
      <x:c r="D85" s="11"/>
      <x:c r="E85" s="15"/>
      <x:c r="F85" s="11"/>
      <x:c r="G85" s="11"/>
      <x:c r="H85" s="11"/>
      <x:c r="I85" s="15"/>
      <x:c r="J85" s="14"/>
      <x:c r="K85" s="11"/>
    </x:row>
    <x:row r="86" ht="60" customHeight="1">
      <x:c r="A86" s="11"/>
      <x:c r="B86" s="11"/>
      <x:c r="C86" s="11"/>
      <x:c r="D86" s="11"/>
      <x:c r="E86" s="15"/>
      <x:c r="F86" s="11"/>
      <x:c r="G86" s="11"/>
      <x:c r="H86" s="11"/>
      <x:c r="I86" s="15"/>
      <x:c r="J86" s="14"/>
      <x:c r="K86" s="11"/>
    </x:row>
    <x:row r="87" ht="60" customHeight="1">
      <x:c r="A87" s="11"/>
      <x:c r="B87" s="11"/>
      <x:c r="C87" s="11"/>
      <x:c r="D87" s="11"/>
      <x:c r="E87" s="15"/>
      <x:c r="F87" s="11"/>
      <x:c r="G87" s="11"/>
      <x:c r="H87" s="11"/>
      <x:c r="I87" s="15"/>
      <x:c r="J87" s="14"/>
      <x:c r="K87" s="11"/>
    </x:row>
    <x:row r="88" ht="60" customHeight="1">
      <x:c r="A88" s="11"/>
      <x:c r="B88" s="11"/>
      <x:c r="C88" s="11"/>
      <x:c r="D88" s="11"/>
      <x:c r="E88" s="15"/>
      <x:c r="F88" s="11"/>
      <x:c r="G88" s="11"/>
      <x:c r="H88" s="11"/>
      <x:c r="I88" s="15"/>
      <x:c r="J88" s="14"/>
      <x:c r="K88" s="11"/>
    </x:row>
    <x:row r="89" ht="60" customHeight="1">
      <x:c r="A89" s="11"/>
      <x:c r="B89" s="11"/>
      <x:c r="C89" s="11"/>
      <x:c r="D89" s="11"/>
      <x:c r="E89" s="15"/>
      <x:c r="F89" s="11"/>
      <x:c r="G89" s="11"/>
      <x:c r="H89" s="11"/>
      <x:c r="I89" s="15"/>
      <x:c r="J89" s="14"/>
      <x:c r="K89" s="11"/>
    </x:row>
    <x:row r="90" ht="60" customHeight="1">
      <x:c r="A90" s="11"/>
      <x:c r="B90" s="11"/>
      <x:c r="C90" s="11"/>
      <x:c r="D90" s="11"/>
      <x:c r="E90" s="15"/>
      <x:c r="F90" s="11"/>
      <x:c r="G90" s="11"/>
      <x:c r="H90" s="11"/>
      <x:c r="I90" s="15"/>
      <x:c r="J90" s="14"/>
      <x:c r="K90" s="11"/>
    </x:row>
    <x:row r="91" ht="60" customHeight="1">
      <x:c r="A91" s="11"/>
      <x:c r="B91" s="11"/>
      <x:c r="C91" s="11"/>
      <x:c r="D91" s="11"/>
      <x:c r="E91" s="15"/>
      <x:c r="F91" s="11"/>
      <x:c r="G91" s="11"/>
      <x:c r="H91" s="11"/>
      <x:c r="I91" s="15"/>
      <x:c r="J91" s="14"/>
      <x:c r="K91" s="11"/>
    </x:row>
    <x:row r="92" ht="60" customHeight="1">
      <x:c r="A92" s="11"/>
      <x:c r="B92" s="11"/>
      <x:c r="C92" s="11"/>
      <x:c r="D92" s="11"/>
      <x:c r="E92" s="15"/>
      <x:c r="F92" s="11"/>
      <x:c r="G92" s="11"/>
      <x:c r="H92" s="11"/>
      <x:c r="I92" s="15"/>
      <x:c r="J92" s="14"/>
      <x:c r="K92" s="11"/>
    </x:row>
    <x:row r="93" ht="60" customHeight="1">
      <x:c r="A93" s="11"/>
      <x:c r="B93" s="11"/>
      <x:c r="C93" s="11"/>
      <x:c r="D93" s="11"/>
      <x:c r="E93" s="15"/>
      <x:c r="F93" s="11"/>
      <x:c r="G93" s="11"/>
      <x:c r="H93" s="11"/>
      <x:c r="I93" s="15"/>
      <x:c r="J93" s="14"/>
      <x:c r="K93" s="11"/>
    </x:row>
    <x:row r="94" ht="60" customHeight="1">
      <x:c r="A94" s="11"/>
      <x:c r="B94" s="11"/>
      <x:c r="C94" s="11"/>
      <x:c r="D94" s="11"/>
      <x:c r="E94" s="15"/>
      <x:c r="F94" s="11"/>
      <x:c r="G94" s="11"/>
      <x:c r="H94" s="11"/>
      <x:c r="I94" s="15"/>
      <x:c r="J94" s="14"/>
      <x:c r="K94" s="11"/>
    </x:row>
    <x:row r="95" ht="60" customHeight="1">
      <x:c r="A95" s="11"/>
      <x:c r="B95" s="11"/>
      <x:c r="C95" s="11"/>
      <x:c r="D95" s="11"/>
      <x:c r="E95" s="15"/>
      <x:c r="F95" s="11"/>
      <x:c r="G95" s="11"/>
      <x:c r="H95" s="11"/>
      <x:c r="I95" s="15"/>
      <x:c r="J95" s="14"/>
      <x:c r="K95" s="11"/>
    </x:row>
    <x:row r="96" ht="60" customHeight="1">
      <x:c r="A96" s="11"/>
      <x:c r="B96" s="11"/>
      <x:c r="C96" s="11"/>
      <x:c r="D96" s="11"/>
      <x:c r="E96" s="15"/>
      <x:c r="F96" s="11"/>
      <x:c r="G96" s="11"/>
      <x:c r="H96" s="11"/>
      <x:c r="I96" s="15"/>
      <x:c r="J96" s="14"/>
      <x:c r="K96" s="11"/>
    </x:row>
    <x:row r="97" ht="60" customHeight="1">
      <x:c r="A97" s="11"/>
      <x:c r="B97" s="11"/>
      <x:c r="C97" s="11"/>
      <x:c r="D97" s="11"/>
      <x:c r="E97" s="15"/>
      <x:c r="F97" s="11"/>
      <x:c r="G97" s="11"/>
      <x:c r="H97" s="11"/>
      <x:c r="I97" s="15"/>
      <x:c r="J97" s="14"/>
      <x:c r="K97" s="11"/>
    </x:row>
    <x:row r="98" ht="60" customHeight="1">
      <x:c r="A98" s="11"/>
      <x:c r="B98" s="11"/>
      <x:c r="C98" s="11"/>
      <x:c r="D98" s="11"/>
      <x:c r="E98" s="15"/>
      <x:c r="F98" s="11"/>
      <x:c r="G98" s="11"/>
      <x:c r="H98" s="11"/>
      <x:c r="I98" s="15"/>
      <x:c r="J98" s="14"/>
      <x:c r="K98" s="11"/>
    </x:row>
    <x:row r="99" ht="60" customHeight="1">
      <x:c r="A99" s="11"/>
      <x:c r="B99" s="11"/>
      <x:c r="C99" s="11"/>
      <x:c r="D99" s="11"/>
      <x:c r="E99" s="15"/>
      <x:c r="F99" s="11"/>
      <x:c r="G99" s="11"/>
      <x:c r="H99" s="11"/>
      <x:c r="I99" s="15"/>
      <x:c r="J99" s="14"/>
      <x:c r="K99" s="11"/>
    </x:row>
    <x:row r="100" ht="60" customHeight="1">
      <x:c r="A100" s="11"/>
      <x:c r="B100" s="11"/>
      <x:c r="C100" s="11"/>
      <x:c r="D100" s="11"/>
      <x:c r="E100" s="15"/>
      <x:c r="F100" s="11"/>
      <x:c r="G100" s="11"/>
      <x:c r="H100" s="11"/>
      <x:c r="I100" s="15"/>
      <x:c r="J100" s="14"/>
      <x:c r="K100" s="11"/>
    </x:row>
    <x:row r="101" ht="60" customHeight="1">
      <x:c r="A101" s="11"/>
      <x:c r="B101" s="11"/>
      <x:c r="C101" s="11"/>
      <x:c r="D101" s="11"/>
      <x:c r="E101" s="15"/>
      <x:c r="F101" s="11"/>
      <x:c r="G101" s="11"/>
      <x:c r="H101" s="11"/>
      <x:c r="I101" s="15"/>
      <x:c r="J101" s="14"/>
      <x:c r="K101" s="11"/>
    </x:row>
    <x:row r="102" ht="60" customHeight="1">
      <x:c r="A102" s="11"/>
      <x:c r="B102" s="11"/>
      <x:c r="C102" s="11"/>
      <x:c r="D102" s="11"/>
      <x:c r="E102" s="15"/>
      <x:c r="F102" s="11"/>
      <x:c r="G102" s="11"/>
      <x:c r="H102" s="11"/>
      <x:c r="I102" s="15"/>
      <x:c r="J102" s="14"/>
      <x:c r="K102" s="11"/>
    </x:row>
    <x:row r="103" ht="60" customHeight="1">
      <x:c r="A103" s="11"/>
      <x:c r="B103" s="11"/>
      <x:c r="C103" s="11"/>
      <x:c r="D103" s="11"/>
      <x:c r="E103" s="15"/>
      <x:c r="F103" s="11"/>
      <x:c r="G103" s="11"/>
      <x:c r="H103" s="11"/>
      <x:c r="I103" s="15"/>
      <x:c r="J103" s="14"/>
      <x:c r="K103" s="11"/>
    </x:row>
    <x:row r="104" ht="60" customHeight="1">
      <x:c r="A104" s="11"/>
      <x:c r="B104" s="11"/>
      <x:c r="C104" s="11"/>
      <x:c r="D104" s="11"/>
      <x:c r="E104" s="15"/>
      <x:c r="F104" s="11"/>
      <x:c r="G104" s="11"/>
      <x:c r="H104" s="11"/>
      <x:c r="I104" s="15"/>
      <x:c r="J104" s="14"/>
      <x:c r="K104" s="11"/>
    </x:row>
    <x:row r="105" ht="60" customHeight="1">
      <x:c r="A105" s="11"/>
      <x:c r="B105" s="11"/>
      <x:c r="C105" s="11"/>
      <x:c r="D105" s="11"/>
      <x:c r="E105" s="15"/>
      <x:c r="F105" s="11"/>
      <x:c r="G105" s="11"/>
      <x:c r="H105" s="11"/>
      <x:c r="I105" s="15"/>
      <x:c r="J105" s="14"/>
      <x:c r="K105" s="11"/>
    </x:row>
    <x:row r="106" ht="60" customHeight="1">
      <x:c r="A106" s="11"/>
      <x:c r="B106" s="11"/>
      <x:c r="C106" s="11"/>
      <x:c r="D106" s="11"/>
      <x:c r="E106" s="15"/>
      <x:c r="F106" s="11"/>
      <x:c r="G106" s="11"/>
      <x:c r="H106" s="11"/>
      <x:c r="I106" s="15"/>
      <x:c r="J106" s="14"/>
      <x:c r="K106" s="11"/>
    </x:row>
    <x:row r="107" ht="60" customHeight="1">
      <x:c r="A107" s="11"/>
      <x:c r="B107" s="11"/>
      <x:c r="C107" s="11"/>
      <x:c r="D107" s="11"/>
      <x:c r="E107" s="15"/>
      <x:c r="F107" s="11"/>
      <x:c r="G107" s="11"/>
      <x:c r="H107" s="11"/>
      <x:c r="I107" s="15"/>
      <x:c r="J107" s="14"/>
      <x:c r="K107" s="11"/>
    </x:row>
    <x:row r="108" ht="60" customHeight="1">
      <x:c r="A108" s="11"/>
      <x:c r="B108" s="11"/>
      <x:c r="C108" s="11"/>
      <x:c r="D108" s="11"/>
      <x:c r="E108" s="15"/>
      <x:c r="F108" s="11"/>
      <x:c r="G108" s="11"/>
      <x:c r="H108" s="11"/>
      <x:c r="I108" s="15"/>
      <x:c r="J108" s="14"/>
      <x:c r="K108" s="11"/>
    </x:row>
    <x:row r="109" ht="60" customHeight="1">
      <x:c r="A109" s="11"/>
      <x:c r="B109" s="11"/>
      <x:c r="C109" s="11"/>
      <x:c r="D109" s="11"/>
      <x:c r="E109" s="15"/>
      <x:c r="F109" s="11"/>
      <x:c r="G109" s="11"/>
      <x:c r="H109" s="11"/>
      <x:c r="I109" s="15"/>
      <x:c r="J109" s="14"/>
      <x:c r="K109" s="11"/>
    </x:row>
    <x:row r="110" ht="60" customHeight="1">
      <x:c r="A110" s="11"/>
      <x:c r="B110" s="11"/>
      <x:c r="C110" s="11"/>
      <x:c r="D110" s="11"/>
      <x:c r="E110" s="15"/>
      <x:c r="F110" s="11"/>
      <x:c r="G110" s="11"/>
      <x:c r="H110" s="11"/>
      <x:c r="I110" s="15"/>
      <x:c r="J110" s="14"/>
      <x:c r="K110" s="11"/>
    </x:row>
    <x:row r="111" ht="60" customHeight="1">
      <x:c r="A111" s="11"/>
      <x:c r="B111" s="11"/>
      <x:c r="C111" s="11"/>
      <x:c r="D111" s="11"/>
      <x:c r="E111" s="15"/>
      <x:c r="F111" s="11"/>
      <x:c r="G111" s="11"/>
      <x:c r="H111" s="11"/>
      <x:c r="I111" s="15"/>
      <x:c r="J111" s="14"/>
      <x:c r="K111" s="11"/>
    </x:row>
    <x:row r="112" ht="60" customHeight="1">
      <x:c r="A112" s="11"/>
      <x:c r="B112" s="11"/>
      <x:c r="C112" s="11"/>
      <x:c r="D112" s="11"/>
      <x:c r="E112" s="15"/>
      <x:c r="F112" s="11"/>
      <x:c r="G112" s="11"/>
      <x:c r="H112" s="11"/>
      <x:c r="I112" s="15"/>
      <x:c r="J112" s="14"/>
      <x:c r="K112" s="11"/>
    </x:row>
    <x:row r="113" ht="60" customHeight="1">
      <x:c r="A113" s="11"/>
      <x:c r="B113" s="11"/>
      <x:c r="C113" s="11"/>
      <x:c r="D113" s="11"/>
      <x:c r="E113" s="15"/>
      <x:c r="F113" s="11"/>
      <x:c r="G113" s="11"/>
      <x:c r="H113" s="11"/>
      <x:c r="I113" s="15"/>
      <x:c r="J113" s="14"/>
      <x:c r="K113" s="11"/>
    </x:row>
    <x:row r="114" ht="60" customHeight="1">
      <x:c r="A114" s="11"/>
      <x:c r="B114" s="11"/>
      <x:c r="C114" s="11"/>
      <x:c r="D114" s="11"/>
      <x:c r="E114" s="15"/>
      <x:c r="F114" s="11"/>
      <x:c r="G114" s="11"/>
      <x:c r="H114" s="11"/>
      <x:c r="I114" s="15"/>
      <x:c r="J114" s="14"/>
      <x:c r="K114" s="11"/>
    </x:row>
    <x:row r="115" ht="60" customHeight="1">
      <x:c r="A115" s="11"/>
      <x:c r="B115" s="11"/>
      <x:c r="C115" s="11"/>
      <x:c r="D115" s="11"/>
      <x:c r="E115" s="15"/>
      <x:c r="F115" s="11"/>
      <x:c r="G115" s="11"/>
      <x:c r="H115" s="11"/>
      <x:c r="I115" s="15"/>
      <x:c r="J115" s="14"/>
      <x:c r="K115" s="11"/>
    </x:row>
    <x:row r="116" ht="60" customHeight="1">
      <x:c r="A116" s="11"/>
      <x:c r="B116" s="11"/>
      <x:c r="C116" s="11"/>
      <x:c r="D116" s="11"/>
      <x:c r="E116" s="15"/>
      <x:c r="F116" s="11"/>
      <x:c r="G116" s="11"/>
      <x:c r="H116" s="11"/>
      <x:c r="I116" s="15"/>
      <x:c r="J116" s="14"/>
      <x:c r="K116" s="11"/>
    </x:row>
    <x:row r="117" ht="60" customHeight="1">
      <x:c r="A117" s="11"/>
      <x:c r="B117" s="11"/>
      <x:c r="C117" s="11"/>
      <x:c r="D117" s="11"/>
      <x:c r="E117" s="15"/>
      <x:c r="F117" s="11"/>
      <x:c r="G117" s="11"/>
      <x:c r="H117" s="11"/>
      <x:c r="I117" s="15"/>
      <x:c r="J117" s="14"/>
      <x:c r="K117" s="11"/>
    </x:row>
    <x:row r="118" ht="60" customHeight="1">
      <x:c r="A118" s="11"/>
      <x:c r="B118" s="11"/>
      <x:c r="C118" s="11"/>
      <x:c r="D118" s="11"/>
      <x:c r="E118" s="15"/>
      <x:c r="F118" s="11"/>
      <x:c r="G118" s="11"/>
      <x:c r="H118" s="11"/>
      <x:c r="I118" s="15"/>
      <x:c r="J118" s="14"/>
      <x:c r="K118" s="11"/>
    </x:row>
    <x:row r="119" ht="60" customHeight="1">
      <x:c r="A119" s="11"/>
      <x:c r="B119" s="11"/>
      <x:c r="C119" s="11"/>
      <x:c r="D119" s="11"/>
      <x:c r="E119" s="15"/>
      <x:c r="F119" s="11"/>
      <x:c r="G119" s="11"/>
      <x:c r="H119" s="11"/>
      <x:c r="I119" s="15"/>
      <x:c r="J119" s="14"/>
      <x:c r="K119" s="11"/>
    </x:row>
    <x:row r="120" ht="60" customHeight="1">
      <x:c r="A120" s="11"/>
      <x:c r="B120" s="11"/>
      <x:c r="C120" s="11"/>
      <x:c r="D120" s="11"/>
      <x:c r="E120" s="15"/>
      <x:c r="F120" s="11"/>
      <x:c r="G120" s="11"/>
      <x:c r="H120" s="11"/>
      <x:c r="I120" s="15"/>
      <x:c r="J120" s="14"/>
      <x:c r="K120" s="11"/>
    </x:row>
    <x:row r="121" ht="60" customHeight="1">
      <x:c r="A121" s="11"/>
      <x:c r="B121" s="11"/>
      <x:c r="C121" s="11"/>
      <x:c r="D121" s="11"/>
      <x:c r="E121" s="15"/>
      <x:c r="F121" s="11"/>
      <x:c r="G121" s="11"/>
      <x:c r="H121" s="11"/>
      <x:c r="I121" s="15"/>
      <x:c r="J121" s="14"/>
      <x:c r="K121" s="11"/>
    </x:row>
    <x:row r="122" ht="60" customHeight="1">
      <x:c r="A122" s="11"/>
      <x:c r="B122" s="11"/>
      <x:c r="C122" s="11"/>
      <x:c r="D122" s="11"/>
      <x:c r="E122" s="15"/>
      <x:c r="F122" s="11"/>
      <x:c r="G122" s="11"/>
      <x:c r="H122" s="11"/>
      <x:c r="I122" s="15"/>
      <x:c r="J122" s="14"/>
      <x:c r="K122" s="11"/>
    </x:row>
    <x:row r="123" ht="60" customHeight="1">
      <x:c r="A123" s="11"/>
      <x:c r="B123" s="11"/>
      <x:c r="C123" s="11"/>
      <x:c r="D123" s="11"/>
      <x:c r="E123" s="15"/>
      <x:c r="F123" s="11"/>
      <x:c r="G123" s="11"/>
      <x:c r="H123" s="11"/>
      <x:c r="I123" s="15"/>
      <x:c r="J123" s="14"/>
      <x:c r="K123" s="11"/>
    </x:row>
    <x:row r="124" ht="60" customHeight="1">
      <x:c r="A124" s="11"/>
      <x:c r="B124" s="11"/>
      <x:c r="C124" s="11"/>
      <x:c r="D124" s="11"/>
      <x:c r="E124" s="15"/>
      <x:c r="F124" s="11"/>
      <x:c r="G124" s="11"/>
      <x:c r="H124" s="11"/>
      <x:c r="I124" s="15"/>
      <x:c r="J124" s="14"/>
      <x:c r="K124" s="11"/>
    </x:row>
    <x:row r="125" ht="60" customHeight="1">
      <x:c r="A125" s="11"/>
      <x:c r="B125" s="11"/>
      <x:c r="C125" s="11"/>
      <x:c r="D125" s="11"/>
      <x:c r="E125" s="15"/>
      <x:c r="F125" s="11"/>
      <x:c r="G125" s="11"/>
      <x:c r="H125" s="11"/>
      <x:c r="I125" s="15"/>
      <x:c r="J125" s="14"/>
      <x:c r="K125" s="11"/>
    </x:row>
    <x:row r="126" ht="60" customHeight="1">
      <x:c r="A126" s="11"/>
      <x:c r="B126" s="11"/>
      <x:c r="C126" s="11"/>
      <x:c r="D126" s="11"/>
      <x:c r="E126" s="15"/>
      <x:c r="F126" s="11"/>
      <x:c r="G126" s="11"/>
      <x:c r="H126" s="11"/>
      <x:c r="I126" s="15"/>
      <x:c r="J126" s="14"/>
      <x:c r="K126" s="11"/>
    </x:row>
    <x:row r="127" ht="60" customHeight="1">
      <x:c r="A127" s="11"/>
      <x:c r="B127" s="11"/>
      <x:c r="C127" s="11"/>
      <x:c r="D127" s="11"/>
      <x:c r="E127" s="15"/>
      <x:c r="F127" s="11"/>
      <x:c r="G127" s="11"/>
      <x:c r="H127" s="11"/>
      <x:c r="I127" s="15"/>
      <x:c r="J127" s="14"/>
      <x:c r="K127" s="11"/>
    </x:row>
    <x:row r="128" ht="60" customHeight="1">
      <x:c r="A128" s="11"/>
      <x:c r="B128" s="11"/>
      <x:c r="C128" s="11"/>
      <x:c r="D128" s="11"/>
      <x:c r="E128" s="15"/>
      <x:c r="F128" s="11"/>
      <x:c r="G128" s="11"/>
      <x:c r="H128" s="11"/>
      <x:c r="I128" s="15"/>
      <x:c r="J128" s="14"/>
      <x:c r="K128" s="11"/>
    </x:row>
    <x:row r="129" ht="60" customHeight="1">
      <x:c r="A129" s="11"/>
      <x:c r="B129" s="11"/>
      <x:c r="C129" s="11"/>
      <x:c r="D129" s="11"/>
      <x:c r="E129" s="15"/>
      <x:c r="F129" s="11"/>
      <x:c r="G129" s="11"/>
      <x:c r="H129" s="11"/>
      <x:c r="I129" s="15"/>
      <x:c r="J129" s="14"/>
      <x:c r="K129" s="11"/>
    </x:row>
    <x:row r="130" ht="60" customHeight="1">
      <x:c r="A130" s="11"/>
      <x:c r="B130" s="11"/>
      <x:c r="C130" s="11"/>
      <x:c r="D130" s="11"/>
      <x:c r="E130" s="15"/>
      <x:c r="F130" s="11"/>
      <x:c r="G130" s="11"/>
      <x:c r="H130" s="11"/>
      <x:c r="I130" s="15"/>
      <x:c r="J130" s="14"/>
      <x:c r="K130" s="11"/>
    </x:row>
    <x:row r="131" ht="60" customHeight="1">
      <x:c r="A131" s="11"/>
      <x:c r="B131" s="11"/>
      <x:c r="C131" s="11"/>
      <x:c r="D131" s="11"/>
      <x:c r="E131" s="15"/>
      <x:c r="F131" s="11"/>
      <x:c r="G131" s="11"/>
      <x:c r="H131" s="11"/>
      <x:c r="I131" s="15"/>
      <x:c r="J131" s="14"/>
      <x:c r="K131" s="11"/>
    </x:row>
    <x:row r="132" ht="60" customHeight="1">
      <x:c r="A132" s="11"/>
      <x:c r="B132" s="11"/>
      <x:c r="C132" s="11"/>
      <x:c r="D132" s="11"/>
      <x:c r="E132" s="15"/>
      <x:c r="F132" s="11"/>
      <x:c r="G132" s="11"/>
      <x:c r="H132" s="11"/>
      <x:c r="I132" s="15"/>
      <x:c r="J132" s="14"/>
      <x:c r="K132" s="11"/>
    </x:row>
    <x:row r="133" ht="60" customHeight="1">
      <x:c r="A133" s="11"/>
      <x:c r="B133" s="11"/>
      <x:c r="C133" s="11"/>
      <x:c r="D133" s="11"/>
      <x:c r="E133" s="15"/>
      <x:c r="F133" s="11"/>
      <x:c r="G133" s="11"/>
      <x:c r="H133" s="11"/>
      <x:c r="I133" s="15"/>
      <x:c r="J133" s="14"/>
      <x:c r="K133" s="11"/>
    </x:row>
    <x:row r="134" ht="60" customHeight="1">
      <x:c r="A134" s="11"/>
      <x:c r="B134" s="11"/>
      <x:c r="C134" s="11"/>
      <x:c r="D134" s="11"/>
      <x:c r="E134" s="15"/>
      <x:c r="F134" s="11"/>
      <x:c r="G134" s="11"/>
      <x:c r="H134" s="11"/>
      <x:c r="I134" s="15"/>
      <x:c r="J134" s="14"/>
      <x:c r="K134" s="11"/>
    </x:row>
    <x:row r="135" ht="60" customHeight="1">
      <x:c r="A135" s="11"/>
      <x:c r="B135" s="11"/>
      <x:c r="C135" s="11"/>
      <x:c r="D135" s="11"/>
      <x:c r="E135" s="15"/>
      <x:c r="F135" s="11"/>
      <x:c r="G135" s="11"/>
      <x:c r="H135" s="11"/>
      <x:c r="I135" s="15"/>
      <x:c r="J135" s="14"/>
      <x:c r="K135" s="11"/>
    </x:row>
    <x:row r="136" ht="60" customHeight="1">
      <x:c r="A136" s="11"/>
      <x:c r="B136" s="11"/>
      <x:c r="C136" s="11"/>
      <x:c r="D136" s="11"/>
      <x:c r="E136" s="15"/>
      <x:c r="F136" s="11"/>
      <x:c r="G136" s="11"/>
      <x:c r="H136" s="11"/>
      <x:c r="I136" s="15"/>
      <x:c r="J136" s="14"/>
      <x:c r="K136" s="11"/>
    </x:row>
    <x:row r="137" ht="60" customHeight="1">
      <x:c r="A137" s="11"/>
      <x:c r="B137" s="11"/>
      <x:c r="C137" s="11"/>
      <x:c r="D137" s="11"/>
      <x:c r="E137" s="15"/>
      <x:c r="F137" s="11"/>
      <x:c r="G137" s="11"/>
      <x:c r="H137" s="11"/>
      <x:c r="I137" s="15"/>
      <x:c r="J137" s="14"/>
      <x:c r="K137" s="11"/>
    </x:row>
    <x:row r="138" ht="60" customHeight="1">
      <x:c r="A138" s="11"/>
      <x:c r="B138" s="11"/>
      <x:c r="C138" s="11"/>
      <x:c r="D138" s="11"/>
      <x:c r="E138" s="15"/>
      <x:c r="F138" s="11"/>
      <x:c r="G138" s="11"/>
      <x:c r="H138" s="11"/>
      <x:c r="I138" s="15"/>
      <x:c r="J138" s="14"/>
      <x:c r="K138" s="11"/>
    </x:row>
    <x:row r="139" ht="60" customHeight="1">
      <x:c r="A139" s="11"/>
      <x:c r="B139" s="11"/>
      <x:c r="C139" s="11"/>
      <x:c r="D139" s="11"/>
      <x:c r="E139" s="15"/>
      <x:c r="F139" s="11"/>
      <x:c r="G139" s="11"/>
      <x:c r="H139" s="11"/>
      <x:c r="I139" s="15"/>
      <x:c r="J139" s="14"/>
      <x:c r="K139" s="11"/>
    </x:row>
    <x:row r="140" ht="60" customHeight="1">
      <x:c r="A140" s="11"/>
      <x:c r="B140" s="11"/>
      <x:c r="C140" s="11"/>
      <x:c r="D140" s="11"/>
      <x:c r="E140" s="15"/>
      <x:c r="F140" s="11"/>
      <x:c r="G140" s="11"/>
      <x:c r="H140" s="11"/>
      <x:c r="I140" s="15"/>
      <x:c r="J140" s="14"/>
      <x:c r="K140" s="11"/>
    </x:row>
    <x:row r="141" ht="60" customHeight="1">
      <x:c r="A141" s="11"/>
      <x:c r="B141" s="11"/>
      <x:c r="C141" s="11"/>
      <x:c r="D141" s="11"/>
      <x:c r="E141" s="15"/>
      <x:c r="F141" s="11"/>
      <x:c r="G141" s="11"/>
      <x:c r="H141" s="11"/>
      <x:c r="I141" s="15"/>
      <x:c r="J141" s="14"/>
      <x:c r="K141" s="11"/>
    </x:row>
    <x:row r="142" ht="60" customHeight="1">
      <x:c r="A142" s="11"/>
      <x:c r="B142" s="11"/>
      <x:c r="C142" s="11"/>
      <x:c r="D142" s="11"/>
      <x:c r="E142" s="15"/>
      <x:c r="F142" s="11"/>
      <x:c r="G142" s="11"/>
      <x:c r="H142" s="11"/>
      <x:c r="I142" s="15"/>
      <x:c r="J142" s="14"/>
      <x:c r="K142" s="11"/>
    </x:row>
    <x:row r="143" ht="60" customHeight="1">
      <x:c r="A143" s="11"/>
      <x:c r="B143" s="11"/>
      <x:c r="C143" s="11"/>
      <x:c r="D143" s="11"/>
      <x:c r="E143" s="15"/>
      <x:c r="F143" s="11"/>
      <x:c r="G143" s="11"/>
      <x:c r="H143" s="11"/>
      <x:c r="I143" s="15"/>
      <x:c r="J143" s="14"/>
      <x:c r="K143" s="11"/>
    </x:row>
    <x:row r="144" ht="60" customHeight="1">
      <x:c r="A144" s="11"/>
      <x:c r="B144" s="11"/>
      <x:c r="C144" s="11"/>
      <x:c r="D144" s="11"/>
      <x:c r="E144" s="15"/>
      <x:c r="F144" s="11"/>
      <x:c r="G144" s="11"/>
      <x:c r="H144" s="11"/>
      <x:c r="I144" s="15"/>
      <x:c r="J144" s="14"/>
      <x:c r="K144" s="11"/>
    </x:row>
    <x:row r="145" ht="60" customHeight="1">
      <x:c r="A145" s="11"/>
      <x:c r="B145" s="11"/>
      <x:c r="C145" s="11"/>
      <x:c r="D145" s="11"/>
      <x:c r="E145" s="15"/>
      <x:c r="F145" s="11"/>
      <x:c r="G145" s="11"/>
      <x:c r="H145" s="11"/>
      <x:c r="I145" s="15"/>
      <x:c r="J145" s="14"/>
      <x:c r="K145" s="11"/>
    </x:row>
    <x:row r="146" ht="60" customHeight="1">
      <x:c r="A146" s="11"/>
      <x:c r="B146" s="11"/>
      <x:c r="C146" s="11"/>
      <x:c r="D146" s="11"/>
      <x:c r="E146" s="15"/>
      <x:c r="F146" s="11"/>
      <x:c r="G146" s="11"/>
      <x:c r="H146" s="11"/>
      <x:c r="I146" s="15"/>
      <x:c r="J146" s="14"/>
      <x:c r="K146" s="11"/>
    </x:row>
    <x:row r="147" ht="60" customHeight="1">
      <x:c r="A147" s="11"/>
      <x:c r="B147" s="11"/>
      <x:c r="C147" s="11"/>
      <x:c r="D147" s="11"/>
      <x:c r="E147" s="15"/>
      <x:c r="F147" s="11"/>
      <x:c r="G147" s="11"/>
      <x:c r="H147" s="11"/>
      <x:c r="I147" s="15"/>
      <x:c r="J147" s="14"/>
      <x:c r="K147" s="11"/>
    </x:row>
    <x:row r="148" ht="60" customHeight="1">
      <x:c r="A148" s="11"/>
      <x:c r="B148" s="11"/>
      <x:c r="C148" s="11"/>
      <x:c r="D148" s="11"/>
      <x:c r="E148" s="15"/>
      <x:c r="F148" s="11"/>
      <x:c r="G148" s="11"/>
      <x:c r="H148" s="11"/>
      <x:c r="I148" s="15"/>
      <x:c r="J148" s="14"/>
      <x:c r="K148" s="11"/>
    </x:row>
    <x:row r="149" ht="60" customHeight="1">
      <x:c r="A149" s="11"/>
      <x:c r="B149" s="11"/>
      <x:c r="C149" s="11"/>
      <x:c r="D149" s="11"/>
      <x:c r="E149" s="15"/>
      <x:c r="F149" s="11"/>
      <x:c r="G149" s="11"/>
      <x:c r="H149" s="11"/>
      <x:c r="I149" s="15"/>
      <x:c r="J149" s="14"/>
      <x:c r="K149" s="11"/>
    </x:row>
    <x:row r="150" ht="60" customHeight="1">
      <x:c r="A150" s="11"/>
      <x:c r="B150" s="11"/>
      <x:c r="C150" s="11"/>
      <x:c r="D150" s="11"/>
      <x:c r="E150" s="15"/>
      <x:c r="F150" s="11"/>
      <x:c r="G150" s="11"/>
      <x:c r="H150" s="11"/>
      <x:c r="I150" s="15"/>
      <x:c r="J150" s="14"/>
      <x:c r="K150" s="11"/>
    </x:row>
    <x:row r="151" ht="60" customHeight="1">
      <x:c r="A151" s="11"/>
      <x:c r="B151" s="11"/>
      <x:c r="C151" s="11"/>
      <x:c r="D151" s="11"/>
      <x:c r="E151" s="15"/>
      <x:c r="F151" s="11"/>
      <x:c r="G151" s="11"/>
      <x:c r="H151" s="11"/>
      <x:c r="I151" s="15"/>
      <x:c r="J151" s="14"/>
      <x:c r="K151" s="11"/>
    </x:row>
    <x:row r="152" ht="60" customHeight="1">
      <x:c r="A152" s="11"/>
      <x:c r="B152" s="11"/>
      <x:c r="C152" s="11"/>
      <x:c r="D152" s="11"/>
      <x:c r="E152" s="15"/>
      <x:c r="F152" s="11"/>
      <x:c r="G152" s="11"/>
      <x:c r="H152" s="11"/>
      <x:c r="I152" s="15"/>
      <x:c r="J152" s="14"/>
      <x:c r="K152" s="11"/>
    </x:row>
    <x:row r="153" ht="60" customHeight="1">
      <x:c r="A153" s="11"/>
      <x:c r="B153" s="11"/>
      <x:c r="C153" s="11"/>
      <x:c r="D153" s="11"/>
      <x:c r="E153" s="15"/>
      <x:c r="F153" s="11"/>
      <x:c r="G153" s="11"/>
      <x:c r="H153" s="11"/>
      <x:c r="I153" s="15"/>
      <x:c r="J153" s="14"/>
      <x:c r="K153" s="11"/>
    </x:row>
    <x:row r="154" ht="60" customHeight="1">
      <x:c r="A154" s="11"/>
      <x:c r="B154" s="11"/>
      <x:c r="C154" s="11"/>
      <x:c r="D154" s="11"/>
      <x:c r="E154" s="15"/>
      <x:c r="F154" s="11"/>
      <x:c r="G154" s="11"/>
      <x:c r="H154" s="11"/>
      <x:c r="I154" s="15"/>
      <x:c r="J154" s="14"/>
      <x:c r="K154" s="11"/>
    </x:row>
    <x:row r="155" ht="60" customHeight="1">
      <x:c r="A155" s="11"/>
      <x:c r="B155" s="11"/>
      <x:c r="C155" s="11"/>
      <x:c r="D155" s="11"/>
      <x:c r="E155" s="15"/>
      <x:c r="F155" s="11"/>
      <x:c r="G155" s="11"/>
      <x:c r="H155" s="11"/>
      <x:c r="I155" s="15"/>
      <x:c r="J155" s="14"/>
      <x:c r="K155" s="11"/>
    </x:row>
    <x:row r="156" ht="60" customHeight="1">
      <x:c r="A156" s="11"/>
      <x:c r="B156" s="11"/>
      <x:c r="C156" s="11"/>
      <x:c r="D156" s="11"/>
      <x:c r="E156" s="15"/>
      <x:c r="F156" s="11"/>
      <x:c r="G156" s="11"/>
      <x:c r="H156" s="11"/>
      <x:c r="I156" s="15"/>
      <x:c r="J156" s="14"/>
      <x:c r="K156" s="11"/>
    </x:row>
    <x:row r="157" ht="60" customHeight="1">
      <x:c r="A157" s="11"/>
      <x:c r="B157" s="11"/>
      <x:c r="C157" s="11"/>
      <x:c r="D157" s="11"/>
      <x:c r="E157" s="15"/>
      <x:c r="F157" s="11"/>
      <x:c r="G157" s="11"/>
      <x:c r="H157" s="11"/>
      <x:c r="I157" s="15"/>
      <x:c r="J157" s="14"/>
      <x:c r="K157" s="11"/>
    </x:row>
    <x:row r="158" ht="60" customHeight="1">
      <x:c r="A158" s="11"/>
      <x:c r="B158" s="11"/>
      <x:c r="C158" s="11"/>
      <x:c r="D158" s="11"/>
      <x:c r="E158" s="15"/>
      <x:c r="F158" s="11"/>
      <x:c r="G158" s="11"/>
      <x:c r="H158" s="11"/>
      <x:c r="I158" s="15"/>
      <x:c r="J158" s="14"/>
      <x:c r="K158" s="11"/>
    </x:row>
    <x:row r="159" ht="60" customHeight="1">
      <x:c r="A159" s="11"/>
      <x:c r="B159" s="11"/>
      <x:c r="C159" s="11"/>
      <x:c r="D159" s="11"/>
      <x:c r="E159" s="15"/>
      <x:c r="F159" s="11"/>
      <x:c r="G159" s="11"/>
      <x:c r="H159" s="11"/>
      <x:c r="I159" s="15"/>
      <x:c r="J159" s="14"/>
      <x:c r="K159" s="11"/>
    </x:row>
    <x:row r="160" ht="60" customHeight="1">
      <x:c r="A160" s="11"/>
      <x:c r="B160" s="11"/>
      <x:c r="C160" s="11"/>
      <x:c r="D160" s="11"/>
      <x:c r="E160" s="15"/>
      <x:c r="F160" s="11"/>
      <x:c r="G160" s="11"/>
      <x:c r="H160" s="11"/>
      <x:c r="I160" s="15"/>
      <x:c r="J160" s="14"/>
      <x:c r="K160" s="11"/>
    </x:row>
    <x:row r="161" ht="60" customHeight="1">
      <x:c r="A161" s="11"/>
      <x:c r="B161" s="11"/>
      <x:c r="C161" s="11"/>
      <x:c r="D161" s="11"/>
      <x:c r="E161" s="15"/>
      <x:c r="F161" s="11"/>
      <x:c r="G161" s="11"/>
      <x:c r="H161" s="11"/>
      <x:c r="I161" s="15"/>
      <x:c r="J161" s="14"/>
      <x:c r="K161" s="11"/>
    </x:row>
    <x:row r="162" ht="60" customHeight="1">
      <x:c r="A162" s="11"/>
      <x:c r="B162" s="11"/>
      <x:c r="C162" s="11"/>
      <x:c r="D162" s="11"/>
      <x:c r="E162" s="15"/>
      <x:c r="F162" s="11"/>
      <x:c r="G162" s="11"/>
      <x:c r="H162" s="11"/>
      <x:c r="I162" s="15"/>
      <x:c r="J162" s="14"/>
      <x:c r="K162" s="11"/>
    </x:row>
    <x:row r="163" ht="60" customHeight="1">
      <x:c r="A163" s="11"/>
      <x:c r="B163" s="11"/>
      <x:c r="C163" s="11"/>
      <x:c r="D163" s="11"/>
      <x:c r="E163" s="15"/>
      <x:c r="F163" s="11"/>
      <x:c r="G163" s="11"/>
      <x:c r="H163" s="11"/>
      <x:c r="I163" s="15"/>
      <x:c r="J163" s="14"/>
      <x:c r="K163" s="11"/>
    </x:row>
    <x:row r="164" ht="60" customHeight="1">
      <x:c r="A164" s="11"/>
      <x:c r="B164" s="11"/>
      <x:c r="C164" s="11"/>
      <x:c r="D164" s="11"/>
      <x:c r="E164" s="15"/>
      <x:c r="F164" s="11"/>
      <x:c r="G164" s="11"/>
      <x:c r="H164" s="11"/>
      <x:c r="I164" s="15"/>
      <x:c r="J164" s="14"/>
      <x:c r="K164" s="11"/>
    </x:row>
    <x:row r="165" ht="60" customHeight="1">
      <x:c r="A165" s="11"/>
      <x:c r="B165" s="11"/>
      <x:c r="C165" s="11"/>
      <x:c r="D165" s="11"/>
      <x:c r="E165" s="15"/>
      <x:c r="F165" s="11"/>
      <x:c r="G165" s="11"/>
      <x:c r="H165" s="11"/>
      <x:c r="I165" s="15"/>
      <x:c r="J165" s="14"/>
      <x:c r="K165" s="11"/>
    </x:row>
    <x:row r="166" ht="60" customHeight="1">
      <x:c r="A166" s="11"/>
      <x:c r="B166" s="11"/>
      <x:c r="C166" s="11"/>
      <x:c r="D166" s="11"/>
      <x:c r="E166" s="15"/>
      <x:c r="F166" s="11"/>
      <x:c r="G166" s="11"/>
      <x:c r="H166" s="11"/>
      <x:c r="I166" s="15"/>
      <x:c r="J166" s="14"/>
      <x:c r="K166" s="11"/>
    </x:row>
    <x:row r="167" ht="60" customHeight="1">
      <x:c r="A167" s="11"/>
      <x:c r="B167" s="11"/>
      <x:c r="C167" s="11"/>
      <x:c r="D167" s="11"/>
      <x:c r="E167" s="15"/>
      <x:c r="F167" s="11"/>
      <x:c r="G167" s="11"/>
      <x:c r="H167" s="11"/>
      <x:c r="I167" s="15"/>
      <x:c r="J167" s="14"/>
      <x:c r="K167" s="11"/>
    </x:row>
    <x:row r="168" ht="60" customHeight="1">
      <x:c r="A168" s="11"/>
      <x:c r="B168" s="11"/>
      <x:c r="C168" s="11"/>
      <x:c r="D168" s="11"/>
      <x:c r="E168" s="15"/>
      <x:c r="F168" s="11"/>
      <x:c r="G168" s="11"/>
      <x:c r="H168" s="11"/>
      <x:c r="I168" s="15"/>
      <x:c r="J168" s="14"/>
      <x:c r="K168" s="11"/>
    </x:row>
    <x:row r="169" ht="60" customHeight="1">
      <x:c r="A169" s="11"/>
      <x:c r="B169" s="11"/>
      <x:c r="C169" s="11"/>
      <x:c r="D169" s="11"/>
      <x:c r="E169" s="15"/>
      <x:c r="F169" s="11"/>
      <x:c r="G169" s="11"/>
      <x:c r="H169" s="11"/>
      <x:c r="I169" s="15"/>
      <x:c r="J169" s="14"/>
      <x:c r="K169" s="11"/>
    </x:row>
    <x:row r="170" ht="60" customHeight="1">
      <x:c r="A170" s="11"/>
      <x:c r="B170" s="11"/>
      <x:c r="C170" s="11"/>
      <x:c r="D170" s="11"/>
      <x:c r="E170" s="15"/>
      <x:c r="F170" s="11"/>
      <x:c r="G170" s="11"/>
      <x:c r="H170" s="11"/>
      <x:c r="I170" s="15"/>
      <x:c r="J170" s="14"/>
      <x:c r="K170" s="11"/>
    </x:row>
    <x:row r="171" ht="60" customHeight="1">
      <x:c r="A171" s="11"/>
      <x:c r="B171" s="11"/>
      <x:c r="C171" s="11"/>
      <x:c r="D171" s="11"/>
      <x:c r="E171" s="15"/>
      <x:c r="F171" s="11"/>
      <x:c r="G171" s="11"/>
      <x:c r="H171" s="11"/>
      <x:c r="I171" s="15"/>
      <x:c r="J171" s="14"/>
      <x:c r="K171" s="11"/>
    </x:row>
    <x:row r="172" ht="60" customHeight="1">
      <x:c r="A172" s="11"/>
      <x:c r="B172" s="11"/>
      <x:c r="C172" s="11"/>
      <x:c r="D172" s="11"/>
      <x:c r="E172" s="15"/>
      <x:c r="F172" s="11"/>
      <x:c r="G172" s="11"/>
      <x:c r="H172" s="11"/>
      <x:c r="I172" s="15"/>
      <x:c r="J172" s="14"/>
      <x:c r="K172" s="11"/>
    </x:row>
    <x:row r="173" ht="60" customHeight="1">
      <x:c r="A173" s="11"/>
      <x:c r="B173" s="11"/>
      <x:c r="C173" s="11"/>
      <x:c r="D173" s="11"/>
      <x:c r="E173" s="15"/>
      <x:c r="F173" s="11"/>
      <x:c r="G173" s="11"/>
      <x:c r="H173" s="11"/>
      <x:c r="I173" s="15"/>
      <x:c r="J173" s="14"/>
      <x:c r="K173" s="11"/>
    </x:row>
    <x:row r="174" ht="60" customHeight="1">
      <x:c r="A174" s="11"/>
      <x:c r="B174" s="11"/>
      <x:c r="C174" s="11"/>
      <x:c r="D174" s="11"/>
      <x:c r="E174" s="15"/>
      <x:c r="F174" s="11"/>
      <x:c r="G174" s="11"/>
      <x:c r="H174" s="11"/>
      <x:c r="I174" s="15"/>
      <x:c r="J174" s="14"/>
      <x:c r="K174" s="11"/>
    </x:row>
    <x:row r="175" ht="60" customHeight="1">
      <x:c r="A175" s="11"/>
      <x:c r="B175" s="11"/>
      <x:c r="C175" s="11"/>
      <x:c r="D175" s="11"/>
      <x:c r="E175" s="15"/>
      <x:c r="F175" s="11"/>
      <x:c r="G175" s="11"/>
      <x:c r="H175" s="11"/>
      <x:c r="I175" s="15"/>
      <x:c r="J175" s="14"/>
      <x:c r="K175" s="11"/>
    </x:row>
    <x:row r="176" ht="60" customHeight="1">
      <x:c r="A176" s="11"/>
      <x:c r="B176" s="11"/>
      <x:c r="C176" s="11"/>
      <x:c r="D176" s="11"/>
      <x:c r="E176" s="15"/>
      <x:c r="F176" s="11"/>
      <x:c r="G176" s="11"/>
      <x:c r="H176" s="11"/>
      <x:c r="I176" s="15"/>
      <x:c r="J176" s="14"/>
      <x:c r="K176" s="11"/>
    </x:row>
    <x:row r="177" ht="60" customHeight="1">
      <x:c r="A177" s="11"/>
      <x:c r="B177" s="11"/>
      <x:c r="C177" s="11"/>
      <x:c r="D177" s="11"/>
      <x:c r="E177" s="15"/>
      <x:c r="F177" s="11"/>
      <x:c r="G177" s="11"/>
      <x:c r="H177" s="11"/>
      <x:c r="I177" s="15"/>
      <x:c r="J177" s="14"/>
      <x:c r="K177" s="11"/>
    </x:row>
    <x:row r="178" ht="60" customHeight="1">
      <x:c r="A178" s="11"/>
      <x:c r="B178" s="11"/>
      <x:c r="C178" s="11"/>
      <x:c r="D178" s="11"/>
      <x:c r="E178" s="15"/>
      <x:c r="F178" s="11"/>
      <x:c r="G178" s="11"/>
      <x:c r="H178" s="11"/>
      <x:c r="I178" s="15"/>
      <x:c r="J178" s="14"/>
      <x:c r="K178" s="11"/>
    </x:row>
    <x:row r="179" ht="60" customHeight="1">
      <x:c r="A179" s="11"/>
      <x:c r="B179" s="11"/>
      <x:c r="C179" s="11"/>
      <x:c r="D179" s="11"/>
      <x:c r="E179" s="15"/>
      <x:c r="F179" s="11"/>
      <x:c r="G179" s="11"/>
      <x:c r="H179" s="11"/>
      <x:c r="I179" s="15"/>
      <x:c r="J179" s="14"/>
      <x:c r="K179" s="11"/>
    </x:row>
    <x:row r="180" ht="60" customHeight="1">
      <x:c r="A180" s="11"/>
      <x:c r="B180" s="11"/>
      <x:c r="C180" s="11"/>
      <x:c r="D180" s="11"/>
      <x:c r="E180" s="15"/>
      <x:c r="F180" s="11"/>
      <x:c r="G180" s="11"/>
      <x:c r="H180" s="11"/>
      <x:c r="I180" s="15"/>
      <x:c r="J180" s="14"/>
      <x:c r="K180" s="11"/>
    </x:row>
    <x:row r="181" ht="60" customHeight="1">
      <x:c r="A181" s="11"/>
      <x:c r="B181" s="11"/>
      <x:c r="C181" s="11"/>
      <x:c r="D181" s="11"/>
      <x:c r="E181" s="15"/>
      <x:c r="F181" s="11"/>
      <x:c r="G181" s="11"/>
      <x:c r="H181" s="11"/>
      <x:c r="I181" s="15"/>
      <x:c r="J181" s="14"/>
      <x:c r="K181" s="11"/>
    </x:row>
    <x:row r="182" ht="60" customHeight="1">
      <x:c r="A182" s="11"/>
      <x:c r="B182" s="11"/>
      <x:c r="C182" s="11"/>
      <x:c r="D182" s="11"/>
      <x:c r="E182" s="15"/>
      <x:c r="F182" s="11"/>
      <x:c r="G182" s="11"/>
      <x:c r="H182" s="11"/>
      <x:c r="I182" s="15"/>
      <x:c r="J182" s="14"/>
      <x:c r="K182" s="11"/>
    </x:row>
    <x:row r="183" ht="60" customHeight="1">
      <x:c r="A183" s="11"/>
      <x:c r="B183" s="11"/>
      <x:c r="C183" s="11"/>
      <x:c r="D183" s="11"/>
      <x:c r="E183" s="15"/>
      <x:c r="F183" s="11"/>
      <x:c r="G183" s="11"/>
      <x:c r="H183" s="11"/>
      <x:c r="I183" s="15"/>
      <x:c r="J183" s="14"/>
      <x:c r="K183" s="11"/>
    </x:row>
    <x:row r="184" ht="60" customHeight="1">
      <x:c r="A184" s="11"/>
      <x:c r="B184" s="11"/>
      <x:c r="C184" s="11"/>
      <x:c r="D184" s="11"/>
      <x:c r="E184" s="15"/>
      <x:c r="F184" s="11"/>
      <x:c r="G184" s="11"/>
      <x:c r="H184" s="11"/>
      <x:c r="I184" s="15"/>
      <x:c r="J184" s="14"/>
      <x:c r="K184" s="11"/>
    </x:row>
    <x:row r="185" ht="60" customHeight="1">
      <x:c r="A185" s="11"/>
      <x:c r="B185" s="11"/>
      <x:c r="C185" s="11"/>
      <x:c r="D185" s="11"/>
      <x:c r="E185" s="15"/>
      <x:c r="F185" s="11"/>
      <x:c r="G185" s="11"/>
      <x:c r="H185" s="11"/>
      <x:c r="I185" s="15"/>
      <x:c r="J185" s="14"/>
      <x:c r="K185" s="11"/>
    </x:row>
    <x:row r="186" ht="60" customHeight="1">
      <x:c r="A186" s="11"/>
      <x:c r="B186" s="11"/>
      <x:c r="C186" s="11"/>
      <x:c r="D186" s="11"/>
      <x:c r="E186" s="15"/>
      <x:c r="F186" s="11"/>
      <x:c r="G186" s="11"/>
      <x:c r="H186" s="11"/>
      <x:c r="I186" s="15"/>
      <x:c r="J186" s="14"/>
      <x:c r="K186" s="11"/>
    </x:row>
    <x:row r="187" ht="60" customHeight="1">
      <x:c r="A187" s="11"/>
      <x:c r="B187" s="11"/>
      <x:c r="C187" s="11"/>
      <x:c r="D187" s="11"/>
      <x:c r="E187" s="15"/>
      <x:c r="F187" s="11"/>
      <x:c r="G187" s="11"/>
      <x:c r="H187" s="11"/>
      <x:c r="I187" s="15"/>
      <x:c r="J187" s="14"/>
      <x:c r="K187" s="11"/>
    </x:row>
    <x:row r="188" ht="60" customHeight="1">
      <x:c r="A188" s="11"/>
      <x:c r="B188" s="11"/>
      <x:c r="C188" s="11"/>
      <x:c r="D188" s="11"/>
      <x:c r="E188" s="15"/>
      <x:c r="F188" s="11"/>
      <x:c r="G188" s="11"/>
      <x:c r="H188" s="11"/>
      <x:c r="I188" s="15"/>
      <x:c r="J188" s="14"/>
      <x:c r="K188" s="11"/>
    </x:row>
    <x:row r="189" ht="60" customHeight="1">
      <x:c r="A189" s="11"/>
      <x:c r="B189" s="11"/>
      <x:c r="C189" s="11"/>
      <x:c r="D189" s="11"/>
      <x:c r="E189" s="15"/>
      <x:c r="F189" s="11"/>
      <x:c r="G189" s="11"/>
      <x:c r="H189" s="11"/>
      <x:c r="I189" s="15"/>
      <x:c r="J189" s="14"/>
      <x:c r="K189" s="11"/>
    </x:row>
    <x:row r="190" ht="60" customHeight="1">
      <x:c r="A190" s="11"/>
      <x:c r="B190" s="11"/>
      <x:c r="C190" s="11"/>
      <x:c r="D190" s="11"/>
      <x:c r="E190" s="15"/>
      <x:c r="F190" s="11"/>
      <x:c r="G190" s="11"/>
      <x:c r="H190" s="11"/>
      <x:c r="I190" s="15"/>
      <x:c r="J190" s="14"/>
      <x:c r="K190" s="11"/>
    </x:row>
    <x:row r="191" ht="60" customHeight="1">
      <x:c r="A191" s="11"/>
      <x:c r="B191" s="11"/>
      <x:c r="C191" s="11"/>
      <x:c r="D191" s="11"/>
      <x:c r="E191" s="15"/>
      <x:c r="F191" s="11"/>
      <x:c r="G191" s="11"/>
      <x:c r="H191" s="11"/>
      <x:c r="I191" s="15"/>
      <x:c r="J191" s="14"/>
      <x:c r="K191" s="11"/>
    </x:row>
    <x:row r="192" ht="60" customHeight="1">
      <x:c r="A192" s="11"/>
      <x:c r="B192" s="11"/>
      <x:c r="C192" s="11"/>
      <x:c r="D192" s="11"/>
      <x:c r="E192" s="15"/>
      <x:c r="F192" s="11"/>
      <x:c r="G192" s="11"/>
      <x:c r="H192" s="11"/>
      <x:c r="I192" s="15"/>
      <x:c r="J192" s="14"/>
      <x:c r="K192" s="11"/>
    </x:row>
    <x:row r="193" ht="60" customHeight="1">
      <x:c r="A193" s="11"/>
      <x:c r="B193" s="11"/>
      <x:c r="C193" s="11"/>
      <x:c r="D193" s="11"/>
      <x:c r="E193" s="15"/>
      <x:c r="F193" s="11"/>
      <x:c r="G193" s="11"/>
      <x:c r="H193" s="11"/>
      <x:c r="I193" s="15"/>
      <x:c r="J193" s="14"/>
      <x:c r="K193" s="11"/>
    </x:row>
    <x:row r="194" ht="60" customHeight="1">
      <x:c r="A194" s="11"/>
      <x:c r="B194" s="11"/>
      <x:c r="C194" s="11"/>
      <x:c r="D194" s="11"/>
      <x:c r="E194" s="15"/>
      <x:c r="F194" s="11"/>
      <x:c r="G194" s="11"/>
      <x:c r="H194" s="11"/>
      <x:c r="I194" s="15"/>
      <x:c r="J194" s="14"/>
      <x:c r="K194" s="11"/>
    </x:row>
    <x:row r="195" ht="60" customHeight="1">
      <x:c r="A195" s="11"/>
      <x:c r="B195" s="11"/>
      <x:c r="C195" s="11"/>
      <x:c r="D195" s="11"/>
      <x:c r="E195" s="15"/>
      <x:c r="F195" s="11"/>
      <x:c r="G195" s="11"/>
      <x:c r="H195" s="11"/>
      <x:c r="I195" s="15"/>
      <x:c r="J195" s="14"/>
      <x:c r="K195" s="11"/>
    </x:row>
    <x:row r="196" ht="60" customHeight="1">
      <x:c r="A196" s="11"/>
      <x:c r="B196" s="11"/>
      <x:c r="C196" s="11"/>
      <x:c r="D196" s="11"/>
      <x:c r="E196" s="15"/>
      <x:c r="F196" s="11"/>
      <x:c r="G196" s="11"/>
      <x:c r="H196" s="11"/>
      <x:c r="I196" s="15"/>
      <x:c r="J196" s="14"/>
      <x:c r="K196" s="11"/>
    </x:row>
    <x:row r="197" ht="60" customHeight="1">
      <x:c r="A197" s="11"/>
      <x:c r="B197" s="11"/>
      <x:c r="C197" s="11"/>
      <x:c r="D197" s="11"/>
      <x:c r="E197" s="15"/>
      <x:c r="F197" s="11"/>
      <x:c r="G197" s="11"/>
      <x:c r="H197" s="11"/>
      <x:c r="I197" s="15"/>
      <x:c r="J197" s="14"/>
      <x:c r="K197" s="11"/>
    </x:row>
    <x:row r="198" ht="60" customHeight="1">
      <x:c r="A198" s="11"/>
      <x:c r="B198" s="11"/>
      <x:c r="C198" s="11"/>
      <x:c r="D198" s="11"/>
      <x:c r="E198" s="15"/>
      <x:c r="F198" s="11"/>
      <x:c r="G198" s="11"/>
      <x:c r="H198" s="11"/>
      <x:c r="I198" s="15"/>
      <x:c r="J198" s="14"/>
      <x:c r="K198" s="11"/>
    </x:row>
    <x:row r="199" ht="60" customHeight="1">
      <x:c r="A199" s="11"/>
      <x:c r="B199" s="11"/>
      <x:c r="C199" s="11"/>
      <x:c r="D199" s="11"/>
      <x:c r="E199" s="15"/>
      <x:c r="F199" s="11"/>
      <x:c r="G199" s="11"/>
      <x:c r="H199" s="11"/>
      <x:c r="I199" s="15"/>
      <x:c r="J199" s="14"/>
      <x:c r="K199" s="11"/>
    </x:row>
    <x:row r="200" ht="60" customHeight="1">
      <x:c r="A200" s="11"/>
      <x:c r="B200" s="11"/>
      <x:c r="C200" s="11"/>
      <x:c r="D200" s="11"/>
      <x:c r="E200" s="15"/>
      <x:c r="F200" s="11"/>
      <x:c r="G200" s="11"/>
      <x:c r="H200" s="11"/>
      <x:c r="I200" s="15"/>
      <x:c r="J200" s="14"/>
      <x:c r="K200" s="11"/>
    </x:row>
    <x:row r="201" ht="60" customHeight="1">
      <x:c r="A201" s="11"/>
      <x:c r="B201" s="11"/>
      <x:c r="C201" s="11"/>
      <x:c r="D201" s="11"/>
      <x:c r="E201" s="15"/>
      <x:c r="F201" s="11"/>
      <x:c r="G201" s="11"/>
      <x:c r="H201" s="11"/>
      <x:c r="I201" s="15"/>
      <x:c r="J201" s="14"/>
      <x:c r="K201" s="11"/>
    </x:row>
    <x:row r="202" ht="60" customHeight="1">
      <x:c r="A202" s="11"/>
      <x:c r="B202" s="11"/>
      <x:c r="C202" s="11"/>
      <x:c r="D202" s="11"/>
      <x:c r="E202" s="15"/>
      <x:c r="F202" s="11"/>
      <x:c r="G202" s="11"/>
      <x:c r="H202" s="11"/>
      <x:c r="I202" s="15"/>
      <x:c r="J202" s="14"/>
      <x:c r="K202" s="11"/>
    </x:row>
    <x:row r="203" ht="60" customHeight="1">
      <x:c r="A203" s="11"/>
      <x:c r="B203" s="11"/>
      <x:c r="C203" s="11"/>
      <x:c r="D203" s="11"/>
      <x:c r="E203" s="15"/>
      <x:c r="F203" s="11"/>
      <x:c r="G203" s="11"/>
      <x:c r="H203" s="11"/>
      <x:c r="I203" s="15"/>
      <x:c r="J203" s="14"/>
      <x:c r="K203" s="11"/>
    </x:row>
    <x:row r="204" ht="60" customHeight="1">
      <x:c r="A204" s="11"/>
      <x:c r="B204" s="11"/>
      <x:c r="C204" s="11"/>
      <x:c r="D204" s="11"/>
      <x:c r="E204" s="15"/>
      <x:c r="F204" s="11"/>
      <x:c r="G204" s="11"/>
      <x:c r="H204" s="11"/>
      <x:c r="I204" s="15"/>
      <x:c r="J204" s="14"/>
      <x:c r="K204" s="11"/>
    </x:row>
    <x:row r="205" ht="60" customHeight="1">
      <x:c r="A205" s="11"/>
      <x:c r="B205" s="11"/>
      <x:c r="C205" s="11"/>
      <x:c r="D205" s="11"/>
      <x:c r="E205" s="15"/>
      <x:c r="F205" s="11"/>
      <x:c r="G205" s="11"/>
      <x:c r="H205" s="11"/>
      <x:c r="I205" s="15"/>
      <x:c r="J205" s="14"/>
      <x:c r="K205" s="11"/>
    </x:row>
    <x:row r="206" ht="60" customHeight="1">
      <x:c r="A206" s="11"/>
      <x:c r="B206" s="11"/>
      <x:c r="C206" s="11"/>
      <x:c r="D206" s="11"/>
      <x:c r="E206" s="15"/>
      <x:c r="F206" s="11"/>
      <x:c r="G206" s="11"/>
      <x:c r="H206" s="11"/>
      <x:c r="I206" s="15"/>
      <x:c r="J206" s="14"/>
      <x:c r="K206" s="11"/>
    </x:row>
  </x:sheetData>
  <x:conditionalFormatting sqref="F7:F206">
    <x:cfRule type="containsText" dxfId="1" priority="1" operator="containsText" text="Conflict"/>
  </x:conditionalFormatting>
  <x:dataValidations count="1">
    <x:dataValidation type="list" sqref="F7:F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989609a02c46c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6" customHeight="1">
      <x:c r="A2" s="2" t="str">
        <x:v>Request for information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2" customHeight="1">
      <x:c r="A6" s="8" t="str">
        <x:v>RFI ID</x:v>
      </x:c>
      <x:c r="B6" s="8" t="str">
        <x:v>Project ID</x:v>
      </x:c>
      <x:c r="C6" s="8" t="str">
        <x:v>WBS ID</x:v>
      </x:c>
      <x:c r="D6" s="8" t="str">
        <x:v>Subject</x:v>
      </x:c>
      <x:c r="E6" s="8" t="str">
        <x:v>Raised Date</x:v>
      </x:c>
      <x:c r="F6" s="8" t="str">
        <x:v>Due Date</x:v>
      </x:c>
      <x:c r="G6" s="8" t="str">
        <x:v>Owner</x:v>
      </x:c>
      <x:c r="H6" s="8" t="str">
        <x:v>Status</x:v>
      </x:c>
      <x:c r="I6" s="8" t="str">
        <x:v>Response Reference</x:v>
      </x:c>
      <x:c r="J6" s="8" t="str">
        <x:v>Evidence Reference</x:v>
      </x:c>
      <x:c r="K6" s="8" t="str">
        <x:v>Reviewer</x:v>
      </x:c>
      <x:c r="L6" s="8" t="str">
        <x:v>Review Date</x:v>
      </x:c>
      <x:c r="M6" s="8" t="str">
        <x:v>Revision</x:v>
      </x:c>
      <x:c r="N6" s="8" t="str">
        <x:v>Source Reference</x:v>
      </x:c>
      <x:c r="O6" s="8" t="str">
        <x:v>Next Action</x:v>
      </x:c>
    </x:row>
    <x:row r="7" ht="60" customHeight="1">
      <x:c r="A7" s="11"/>
      <x:c r="B7" s="11"/>
      <x:c r="C7" s="11"/>
      <x:c r="D7" s="11"/>
      <x:c r="E7" s="15"/>
      <x:c r="F7" s="15"/>
      <x:c r="G7" s="11"/>
      <x:c r="H7" s="11"/>
      <x:c r="I7" s="11"/>
      <x:c r="J7" s="11"/>
      <x:c r="K7" s="11"/>
      <x:c r="L7" s="15"/>
      <x:c r="M7" s="14"/>
      <x:c r="N7" s="11"/>
      <x:c r="O7" s="11"/>
    </x:row>
    <x:row r="8" ht="60" customHeight="1">
      <x:c r="A8" s="11"/>
      <x:c r="B8" s="11"/>
      <x:c r="C8" s="11"/>
      <x:c r="D8" s="11"/>
      <x:c r="E8" s="15"/>
      <x:c r="F8" s="15"/>
      <x:c r="G8" s="11"/>
      <x:c r="H8" s="11"/>
      <x:c r="I8" s="11"/>
      <x:c r="J8" s="11"/>
      <x:c r="K8" s="11"/>
      <x:c r="L8" s="15"/>
      <x:c r="M8" s="14"/>
      <x:c r="N8" s="11"/>
      <x:c r="O8" s="11"/>
    </x:row>
    <x:row r="9" ht="60" customHeight="1">
      <x:c r="A9" s="11"/>
      <x:c r="B9" s="11"/>
      <x:c r="C9" s="11"/>
      <x:c r="D9" s="11"/>
      <x:c r="E9" s="15"/>
      <x:c r="F9" s="15"/>
      <x:c r="G9" s="11"/>
      <x:c r="H9" s="11"/>
      <x:c r="I9" s="11"/>
      <x:c r="J9" s="11"/>
      <x:c r="K9" s="11"/>
      <x:c r="L9" s="15"/>
      <x:c r="M9" s="14"/>
      <x:c r="N9" s="11"/>
      <x:c r="O9" s="11"/>
    </x:row>
    <x:row r="10" ht="60" customHeight="1">
      <x:c r="A10" s="11"/>
      <x:c r="B10" s="11"/>
      <x:c r="C10" s="11"/>
      <x:c r="D10" s="11"/>
      <x:c r="E10" s="15"/>
      <x:c r="F10" s="15"/>
      <x:c r="G10" s="11"/>
      <x:c r="H10" s="11"/>
      <x:c r="I10" s="11"/>
      <x:c r="J10" s="11"/>
      <x:c r="K10" s="11"/>
      <x:c r="L10" s="15"/>
      <x:c r="M10" s="14"/>
      <x:c r="N10" s="11"/>
      <x:c r="O10" s="11"/>
    </x:row>
    <x:row r="11" ht="60" customHeight="1">
      <x:c r="A11" s="11"/>
      <x:c r="B11" s="11"/>
      <x:c r="C11" s="11"/>
      <x:c r="D11" s="11"/>
      <x:c r="E11" s="15"/>
      <x:c r="F11" s="15"/>
      <x:c r="G11" s="11"/>
      <x:c r="H11" s="11"/>
      <x:c r="I11" s="11"/>
      <x:c r="J11" s="11"/>
      <x:c r="K11" s="11"/>
      <x:c r="L11" s="15"/>
      <x:c r="M11" s="14"/>
      <x:c r="N11" s="11"/>
      <x:c r="O11" s="11"/>
    </x:row>
    <x:row r="12" ht="60" customHeight="1">
      <x:c r="A12" s="11"/>
      <x:c r="B12" s="11"/>
      <x:c r="C12" s="11"/>
      <x:c r="D12" s="11"/>
      <x:c r="E12" s="15"/>
      <x:c r="F12" s="15"/>
      <x:c r="G12" s="11"/>
      <x:c r="H12" s="11"/>
      <x:c r="I12" s="11"/>
      <x:c r="J12" s="11"/>
      <x:c r="K12" s="11"/>
      <x:c r="L12" s="15"/>
      <x:c r="M12" s="14"/>
      <x:c r="N12" s="11"/>
      <x:c r="O12" s="11"/>
    </x:row>
    <x:row r="13" ht="60" customHeight="1">
      <x:c r="A13" s="11"/>
      <x:c r="B13" s="11"/>
      <x:c r="C13" s="11"/>
      <x:c r="D13" s="11"/>
      <x:c r="E13" s="15"/>
      <x:c r="F13" s="15"/>
      <x:c r="G13" s="11"/>
      <x:c r="H13" s="11"/>
      <x:c r="I13" s="11"/>
      <x:c r="J13" s="11"/>
      <x:c r="K13" s="11"/>
      <x:c r="L13" s="15"/>
      <x:c r="M13" s="14"/>
      <x:c r="N13" s="11"/>
      <x:c r="O13" s="11"/>
    </x:row>
    <x:row r="14" ht="60" customHeight="1">
      <x:c r="A14" s="11"/>
      <x:c r="B14" s="11"/>
      <x:c r="C14" s="11"/>
      <x:c r="D14" s="11"/>
      <x:c r="E14" s="15"/>
      <x:c r="F14" s="15"/>
      <x:c r="G14" s="11"/>
      <x:c r="H14" s="11"/>
      <x:c r="I14" s="11"/>
      <x:c r="J14" s="11"/>
      <x:c r="K14" s="11"/>
      <x:c r="L14" s="15"/>
      <x:c r="M14" s="14"/>
      <x:c r="N14" s="11"/>
      <x:c r="O14" s="11"/>
    </x:row>
    <x:row r="15" ht="60" customHeight="1">
      <x:c r="A15" s="11"/>
      <x:c r="B15" s="11"/>
      <x:c r="C15" s="11"/>
      <x:c r="D15" s="11"/>
      <x:c r="E15" s="15"/>
      <x:c r="F15" s="15"/>
      <x:c r="G15" s="11"/>
      <x:c r="H15" s="11"/>
      <x:c r="I15" s="11"/>
      <x:c r="J15" s="11"/>
      <x:c r="K15" s="11"/>
      <x:c r="L15" s="15"/>
      <x:c r="M15" s="14"/>
      <x:c r="N15" s="11"/>
      <x:c r="O15" s="11"/>
    </x:row>
    <x:row r="16" ht="60" customHeight="1">
      <x:c r="A16" s="11"/>
      <x:c r="B16" s="11"/>
      <x:c r="C16" s="11"/>
      <x:c r="D16" s="11"/>
      <x:c r="E16" s="15"/>
      <x:c r="F16" s="15"/>
      <x:c r="G16" s="11"/>
      <x:c r="H16" s="11"/>
      <x:c r="I16" s="11"/>
      <x:c r="J16" s="11"/>
      <x:c r="K16" s="11"/>
      <x:c r="L16" s="15"/>
      <x:c r="M16" s="14"/>
      <x:c r="N16" s="11"/>
      <x:c r="O16" s="11"/>
    </x:row>
    <x:row r="17" ht="60" customHeight="1">
      <x:c r="A17" s="11"/>
      <x:c r="B17" s="11"/>
      <x:c r="C17" s="11"/>
      <x:c r="D17" s="11"/>
      <x:c r="E17" s="15"/>
      <x:c r="F17" s="15"/>
      <x:c r="G17" s="11"/>
      <x:c r="H17" s="11"/>
      <x:c r="I17" s="11"/>
      <x:c r="J17" s="11"/>
      <x:c r="K17" s="11"/>
      <x:c r="L17" s="15"/>
      <x:c r="M17" s="14"/>
      <x:c r="N17" s="11"/>
      <x:c r="O17" s="11"/>
    </x:row>
    <x:row r="18" ht="60" customHeight="1">
      <x:c r="A18" s="11"/>
      <x:c r="B18" s="11"/>
      <x:c r="C18" s="11"/>
      <x:c r="D18" s="11"/>
      <x:c r="E18" s="15"/>
      <x:c r="F18" s="15"/>
      <x:c r="G18" s="11"/>
      <x:c r="H18" s="11"/>
      <x:c r="I18" s="11"/>
      <x:c r="J18" s="11"/>
      <x:c r="K18" s="11"/>
      <x:c r="L18" s="15"/>
      <x:c r="M18" s="14"/>
      <x:c r="N18" s="11"/>
      <x:c r="O18" s="11"/>
    </x:row>
    <x:row r="19" ht="60" customHeight="1">
      <x:c r="A19" s="11"/>
      <x:c r="B19" s="11"/>
      <x:c r="C19" s="11"/>
      <x:c r="D19" s="11"/>
      <x:c r="E19" s="15"/>
      <x:c r="F19" s="15"/>
      <x:c r="G19" s="11"/>
      <x:c r="H19" s="11"/>
      <x:c r="I19" s="11"/>
      <x:c r="J19" s="11"/>
      <x:c r="K19" s="11"/>
      <x:c r="L19" s="15"/>
      <x:c r="M19" s="14"/>
      <x:c r="N19" s="11"/>
      <x:c r="O19" s="11"/>
    </x:row>
    <x:row r="20" ht="60" customHeight="1">
      <x:c r="A20" s="11"/>
      <x:c r="B20" s="11"/>
      <x:c r="C20" s="11"/>
      <x:c r="D20" s="11"/>
      <x:c r="E20" s="15"/>
      <x:c r="F20" s="15"/>
      <x:c r="G20" s="11"/>
      <x:c r="H20" s="11"/>
      <x:c r="I20" s="11"/>
      <x:c r="J20" s="11"/>
      <x:c r="K20" s="11"/>
      <x:c r="L20" s="15"/>
      <x:c r="M20" s="14"/>
      <x:c r="N20" s="11"/>
      <x:c r="O20" s="11"/>
    </x:row>
    <x:row r="21" ht="60" customHeight="1">
      <x:c r="A21" s="11"/>
      <x:c r="B21" s="11"/>
      <x:c r="C21" s="11"/>
      <x:c r="D21" s="11"/>
      <x:c r="E21" s="15"/>
      <x:c r="F21" s="15"/>
      <x:c r="G21" s="11"/>
      <x:c r="H21" s="11"/>
      <x:c r="I21" s="11"/>
      <x:c r="J21" s="11"/>
      <x:c r="K21" s="11"/>
      <x:c r="L21" s="15"/>
      <x:c r="M21" s="14"/>
      <x:c r="N21" s="11"/>
      <x:c r="O21" s="11"/>
    </x:row>
    <x:row r="22" ht="60" customHeight="1">
      <x:c r="A22" s="11"/>
      <x:c r="B22" s="11"/>
      <x:c r="C22" s="11"/>
      <x:c r="D22" s="11"/>
      <x:c r="E22" s="15"/>
      <x:c r="F22" s="15"/>
      <x:c r="G22" s="11"/>
      <x:c r="H22" s="11"/>
      <x:c r="I22" s="11"/>
      <x:c r="J22" s="11"/>
      <x:c r="K22" s="11"/>
      <x:c r="L22" s="15"/>
      <x:c r="M22" s="14"/>
      <x:c r="N22" s="11"/>
      <x:c r="O22" s="11"/>
    </x:row>
    <x:row r="23" ht="60" customHeight="1">
      <x:c r="A23" s="11"/>
      <x:c r="B23" s="11"/>
      <x:c r="C23" s="11"/>
      <x:c r="D23" s="11"/>
      <x:c r="E23" s="15"/>
      <x:c r="F23" s="15"/>
      <x:c r="G23" s="11"/>
      <x:c r="H23" s="11"/>
      <x:c r="I23" s="11"/>
      <x:c r="J23" s="11"/>
      <x:c r="K23" s="11"/>
      <x:c r="L23" s="15"/>
      <x:c r="M23" s="14"/>
      <x:c r="N23" s="11"/>
      <x:c r="O23" s="11"/>
    </x:row>
    <x:row r="24" ht="60" customHeight="1">
      <x:c r="A24" s="11"/>
      <x:c r="B24" s="11"/>
      <x:c r="C24" s="11"/>
      <x:c r="D24" s="11"/>
      <x:c r="E24" s="15"/>
      <x:c r="F24" s="15"/>
      <x:c r="G24" s="11"/>
      <x:c r="H24" s="11"/>
      <x:c r="I24" s="11"/>
      <x:c r="J24" s="11"/>
      <x:c r="K24" s="11"/>
      <x:c r="L24" s="15"/>
      <x:c r="M24" s="14"/>
      <x:c r="N24" s="11"/>
      <x:c r="O24" s="11"/>
    </x:row>
    <x:row r="25" ht="60" customHeight="1">
      <x:c r="A25" s="11"/>
      <x:c r="B25" s="11"/>
      <x:c r="C25" s="11"/>
      <x:c r="D25" s="11"/>
      <x:c r="E25" s="15"/>
      <x:c r="F25" s="15"/>
      <x:c r="G25" s="11"/>
      <x:c r="H25" s="11"/>
      <x:c r="I25" s="11"/>
      <x:c r="J25" s="11"/>
      <x:c r="K25" s="11"/>
      <x:c r="L25" s="15"/>
      <x:c r="M25" s="14"/>
      <x:c r="N25" s="11"/>
      <x:c r="O25" s="11"/>
    </x:row>
    <x:row r="26" ht="60" customHeight="1">
      <x:c r="A26" s="11"/>
      <x:c r="B26" s="11"/>
      <x:c r="C26" s="11"/>
      <x:c r="D26" s="11"/>
      <x:c r="E26" s="15"/>
      <x:c r="F26" s="15"/>
      <x:c r="G26" s="11"/>
      <x:c r="H26" s="11"/>
      <x:c r="I26" s="11"/>
      <x:c r="J26" s="11"/>
      <x:c r="K26" s="11"/>
      <x:c r="L26" s="15"/>
      <x:c r="M26" s="14"/>
      <x:c r="N26" s="11"/>
      <x:c r="O26" s="11"/>
    </x:row>
    <x:row r="27" ht="60" customHeight="1">
      <x:c r="A27" s="11"/>
      <x:c r="B27" s="11"/>
      <x:c r="C27" s="11"/>
      <x:c r="D27" s="11"/>
      <x:c r="E27" s="15"/>
      <x:c r="F27" s="15"/>
      <x:c r="G27" s="11"/>
      <x:c r="H27" s="11"/>
      <x:c r="I27" s="11"/>
      <x:c r="J27" s="11"/>
      <x:c r="K27" s="11"/>
      <x:c r="L27" s="15"/>
      <x:c r="M27" s="14"/>
      <x:c r="N27" s="11"/>
      <x:c r="O27" s="11"/>
    </x:row>
    <x:row r="28" ht="60" customHeight="1">
      <x:c r="A28" s="11"/>
      <x:c r="B28" s="11"/>
      <x:c r="C28" s="11"/>
      <x:c r="D28" s="11"/>
      <x:c r="E28" s="15"/>
      <x:c r="F28" s="15"/>
      <x:c r="G28" s="11"/>
      <x:c r="H28" s="11"/>
      <x:c r="I28" s="11"/>
      <x:c r="J28" s="11"/>
      <x:c r="K28" s="11"/>
      <x:c r="L28" s="15"/>
      <x:c r="M28" s="14"/>
      <x:c r="N28" s="11"/>
      <x:c r="O28" s="11"/>
    </x:row>
    <x:row r="29" ht="60" customHeight="1">
      <x:c r="A29" s="11"/>
      <x:c r="B29" s="11"/>
      <x:c r="C29" s="11"/>
      <x:c r="D29" s="11"/>
      <x:c r="E29" s="15"/>
      <x:c r="F29" s="15"/>
      <x:c r="G29" s="11"/>
      <x:c r="H29" s="11"/>
      <x:c r="I29" s="11"/>
      <x:c r="J29" s="11"/>
      <x:c r="K29" s="11"/>
      <x:c r="L29" s="15"/>
      <x:c r="M29" s="14"/>
      <x:c r="N29" s="11"/>
      <x:c r="O29" s="11"/>
    </x:row>
    <x:row r="30" ht="60" customHeight="1">
      <x:c r="A30" s="11"/>
      <x:c r="B30" s="11"/>
      <x:c r="C30" s="11"/>
      <x:c r="D30" s="11"/>
      <x:c r="E30" s="15"/>
      <x:c r="F30" s="15"/>
      <x:c r="G30" s="11"/>
      <x:c r="H30" s="11"/>
      <x:c r="I30" s="11"/>
      <x:c r="J30" s="11"/>
      <x:c r="K30" s="11"/>
      <x:c r="L30" s="15"/>
      <x:c r="M30" s="14"/>
      <x:c r="N30" s="11"/>
      <x:c r="O30" s="11"/>
    </x:row>
    <x:row r="31" ht="60" customHeight="1">
      <x:c r="A31" s="11"/>
      <x:c r="B31" s="11"/>
      <x:c r="C31" s="11"/>
      <x:c r="D31" s="11"/>
      <x:c r="E31" s="15"/>
      <x:c r="F31" s="15"/>
      <x:c r="G31" s="11"/>
      <x:c r="H31" s="11"/>
      <x:c r="I31" s="11"/>
      <x:c r="J31" s="11"/>
      <x:c r="K31" s="11"/>
      <x:c r="L31" s="15"/>
      <x:c r="M31" s="14"/>
      <x:c r="N31" s="11"/>
      <x:c r="O31" s="11"/>
    </x:row>
    <x:row r="32" ht="60" customHeight="1">
      <x:c r="A32" s="11"/>
      <x:c r="B32" s="11"/>
      <x:c r="C32" s="11"/>
      <x:c r="D32" s="11"/>
      <x:c r="E32" s="15"/>
      <x:c r="F32" s="15"/>
      <x:c r="G32" s="11"/>
      <x:c r="H32" s="11"/>
      <x:c r="I32" s="11"/>
      <x:c r="J32" s="11"/>
      <x:c r="K32" s="11"/>
      <x:c r="L32" s="15"/>
      <x:c r="M32" s="14"/>
      <x:c r="N32" s="11"/>
      <x:c r="O32" s="11"/>
    </x:row>
    <x:row r="33" ht="60" customHeight="1">
      <x:c r="A33" s="11"/>
      <x:c r="B33" s="11"/>
      <x:c r="C33" s="11"/>
      <x:c r="D33" s="11"/>
      <x:c r="E33" s="15"/>
      <x:c r="F33" s="15"/>
      <x:c r="G33" s="11"/>
      <x:c r="H33" s="11"/>
      <x:c r="I33" s="11"/>
      <x:c r="J33" s="11"/>
      <x:c r="K33" s="11"/>
      <x:c r="L33" s="15"/>
      <x:c r="M33" s="14"/>
      <x:c r="N33" s="11"/>
      <x:c r="O33" s="11"/>
    </x:row>
    <x:row r="34" ht="60" customHeight="1">
      <x:c r="A34" s="11"/>
      <x:c r="B34" s="11"/>
      <x:c r="C34" s="11"/>
      <x:c r="D34" s="11"/>
      <x:c r="E34" s="15"/>
      <x:c r="F34" s="15"/>
      <x:c r="G34" s="11"/>
      <x:c r="H34" s="11"/>
      <x:c r="I34" s="11"/>
      <x:c r="J34" s="11"/>
      <x:c r="K34" s="11"/>
      <x:c r="L34" s="15"/>
      <x:c r="M34" s="14"/>
      <x:c r="N34" s="11"/>
      <x:c r="O34" s="11"/>
    </x:row>
    <x:row r="35" ht="60" customHeight="1">
      <x:c r="A35" s="11"/>
      <x:c r="B35" s="11"/>
      <x:c r="C35" s="11"/>
      <x:c r="D35" s="11"/>
      <x:c r="E35" s="15"/>
      <x:c r="F35" s="15"/>
      <x:c r="G35" s="11"/>
      <x:c r="H35" s="11"/>
      <x:c r="I35" s="11"/>
      <x:c r="J35" s="11"/>
      <x:c r="K35" s="11"/>
      <x:c r="L35" s="15"/>
      <x:c r="M35" s="14"/>
      <x:c r="N35" s="11"/>
      <x:c r="O35" s="11"/>
    </x:row>
    <x:row r="36" ht="60" customHeight="1">
      <x:c r="A36" s="11"/>
      <x:c r="B36" s="11"/>
      <x:c r="C36" s="11"/>
      <x:c r="D36" s="11"/>
      <x:c r="E36" s="15"/>
      <x:c r="F36" s="15"/>
      <x:c r="G36" s="11"/>
      <x:c r="H36" s="11"/>
      <x:c r="I36" s="11"/>
      <x:c r="J36" s="11"/>
      <x:c r="K36" s="11"/>
      <x:c r="L36" s="15"/>
      <x:c r="M36" s="14"/>
      <x:c r="N36" s="11"/>
      <x:c r="O36" s="11"/>
    </x:row>
    <x:row r="37" ht="60" customHeight="1">
      <x:c r="A37" s="11"/>
      <x:c r="B37" s="11"/>
      <x:c r="C37" s="11"/>
      <x:c r="D37" s="11"/>
      <x:c r="E37" s="15"/>
      <x:c r="F37" s="15"/>
      <x:c r="G37" s="11"/>
      <x:c r="H37" s="11"/>
      <x:c r="I37" s="11"/>
      <x:c r="J37" s="11"/>
      <x:c r="K37" s="11"/>
      <x:c r="L37" s="15"/>
      <x:c r="M37" s="14"/>
      <x:c r="N37" s="11"/>
      <x:c r="O37" s="11"/>
    </x:row>
    <x:row r="38" ht="60" customHeight="1">
      <x:c r="A38" s="11"/>
      <x:c r="B38" s="11"/>
      <x:c r="C38" s="11"/>
      <x:c r="D38" s="11"/>
      <x:c r="E38" s="15"/>
      <x:c r="F38" s="15"/>
      <x:c r="G38" s="11"/>
      <x:c r="H38" s="11"/>
      <x:c r="I38" s="11"/>
      <x:c r="J38" s="11"/>
      <x:c r="K38" s="11"/>
      <x:c r="L38" s="15"/>
      <x:c r="M38" s="14"/>
      <x:c r="N38" s="11"/>
      <x:c r="O38" s="11"/>
    </x:row>
    <x:row r="39" ht="60" customHeight="1">
      <x:c r="A39" s="11"/>
      <x:c r="B39" s="11"/>
      <x:c r="C39" s="11"/>
      <x:c r="D39" s="11"/>
      <x:c r="E39" s="15"/>
      <x:c r="F39" s="15"/>
      <x:c r="G39" s="11"/>
      <x:c r="H39" s="11"/>
      <x:c r="I39" s="11"/>
      <x:c r="J39" s="11"/>
      <x:c r="K39" s="11"/>
      <x:c r="L39" s="15"/>
      <x:c r="M39" s="14"/>
      <x:c r="N39" s="11"/>
      <x:c r="O39" s="11"/>
    </x:row>
    <x:row r="40" ht="60" customHeight="1">
      <x:c r="A40" s="11"/>
      <x:c r="B40" s="11"/>
      <x:c r="C40" s="11"/>
      <x:c r="D40" s="11"/>
      <x:c r="E40" s="15"/>
      <x:c r="F40" s="15"/>
      <x:c r="G40" s="11"/>
      <x:c r="H40" s="11"/>
      <x:c r="I40" s="11"/>
      <x:c r="J40" s="11"/>
      <x:c r="K40" s="11"/>
      <x:c r="L40" s="15"/>
      <x:c r="M40" s="14"/>
      <x:c r="N40" s="11"/>
      <x:c r="O40" s="11"/>
    </x:row>
    <x:row r="41" ht="60" customHeight="1">
      <x:c r="A41" s="11"/>
      <x:c r="B41" s="11"/>
      <x:c r="C41" s="11"/>
      <x:c r="D41" s="11"/>
      <x:c r="E41" s="15"/>
      <x:c r="F41" s="15"/>
      <x:c r="G41" s="11"/>
      <x:c r="H41" s="11"/>
      <x:c r="I41" s="11"/>
      <x:c r="J41" s="11"/>
      <x:c r="K41" s="11"/>
      <x:c r="L41" s="15"/>
      <x:c r="M41" s="14"/>
      <x:c r="N41" s="11"/>
      <x:c r="O41" s="11"/>
    </x:row>
    <x:row r="42" ht="60" customHeight="1">
      <x:c r="A42" s="11"/>
      <x:c r="B42" s="11"/>
      <x:c r="C42" s="11"/>
      <x:c r="D42" s="11"/>
      <x:c r="E42" s="15"/>
      <x:c r="F42" s="15"/>
      <x:c r="G42" s="11"/>
      <x:c r="H42" s="11"/>
      <x:c r="I42" s="11"/>
      <x:c r="J42" s="11"/>
      <x:c r="K42" s="11"/>
      <x:c r="L42" s="15"/>
      <x:c r="M42" s="14"/>
      <x:c r="N42" s="11"/>
      <x:c r="O42" s="11"/>
    </x:row>
    <x:row r="43" ht="60" customHeight="1">
      <x:c r="A43" s="11"/>
      <x:c r="B43" s="11"/>
      <x:c r="C43" s="11"/>
      <x:c r="D43" s="11"/>
      <x:c r="E43" s="15"/>
      <x:c r="F43" s="15"/>
      <x:c r="G43" s="11"/>
      <x:c r="H43" s="11"/>
      <x:c r="I43" s="11"/>
      <x:c r="J43" s="11"/>
      <x:c r="K43" s="11"/>
      <x:c r="L43" s="15"/>
      <x:c r="M43" s="14"/>
      <x:c r="N43" s="11"/>
      <x:c r="O43" s="11"/>
    </x:row>
    <x:row r="44" ht="60" customHeight="1">
      <x:c r="A44" s="11"/>
      <x:c r="B44" s="11"/>
      <x:c r="C44" s="11"/>
      <x:c r="D44" s="11"/>
      <x:c r="E44" s="15"/>
      <x:c r="F44" s="15"/>
      <x:c r="G44" s="11"/>
      <x:c r="H44" s="11"/>
      <x:c r="I44" s="11"/>
      <x:c r="J44" s="11"/>
      <x:c r="K44" s="11"/>
      <x:c r="L44" s="15"/>
      <x:c r="M44" s="14"/>
      <x:c r="N44" s="11"/>
      <x:c r="O44" s="11"/>
    </x:row>
    <x:row r="45" ht="60" customHeight="1">
      <x:c r="A45" s="11"/>
      <x:c r="B45" s="11"/>
      <x:c r="C45" s="11"/>
      <x:c r="D45" s="11"/>
      <x:c r="E45" s="15"/>
      <x:c r="F45" s="15"/>
      <x:c r="G45" s="11"/>
      <x:c r="H45" s="11"/>
      <x:c r="I45" s="11"/>
      <x:c r="J45" s="11"/>
      <x:c r="K45" s="11"/>
      <x:c r="L45" s="15"/>
      <x:c r="M45" s="14"/>
      <x:c r="N45" s="11"/>
      <x:c r="O45" s="11"/>
    </x:row>
    <x:row r="46" ht="60" customHeight="1">
      <x:c r="A46" s="11"/>
      <x:c r="B46" s="11"/>
      <x:c r="C46" s="11"/>
      <x:c r="D46" s="11"/>
      <x:c r="E46" s="15"/>
      <x:c r="F46" s="15"/>
      <x:c r="G46" s="11"/>
      <x:c r="H46" s="11"/>
      <x:c r="I46" s="11"/>
      <x:c r="J46" s="11"/>
      <x:c r="K46" s="11"/>
      <x:c r="L46" s="15"/>
      <x:c r="M46" s="14"/>
      <x:c r="N46" s="11"/>
      <x:c r="O46" s="11"/>
    </x:row>
    <x:row r="47" ht="60" customHeight="1">
      <x:c r="A47" s="11"/>
      <x:c r="B47" s="11"/>
      <x:c r="C47" s="11"/>
      <x:c r="D47" s="11"/>
      <x:c r="E47" s="15"/>
      <x:c r="F47" s="15"/>
      <x:c r="G47" s="11"/>
      <x:c r="H47" s="11"/>
      <x:c r="I47" s="11"/>
      <x:c r="J47" s="11"/>
      <x:c r="K47" s="11"/>
      <x:c r="L47" s="15"/>
      <x:c r="M47" s="14"/>
      <x:c r="N47" s="11"/>
      <x:c r="O47" s="11"/>
    </x:row>
    <x:row r="48" ht="60" customHeight="1">
      <x:c r="A48" s="11"/>
      <x:c r="B48" s="11"/>
      <x:c r="C48" s="11"/>
      <x:c r="D48" s="11"/>
      <x:c r="E48" s="15"/>
      <x:c r="F48" s="15"/>
      <x:c r="G48" s="11"/>
      <x:c r="H48" s="11"/>
      <x:c r="I48" s="11"/>
      <x:c r="J48" s="11"/>
      <x:c r="K48" s="11"/>
      <x:c r="L48" s="15"/>
      <x:c r="M48" s="14"/>
      <x:c r="N48" s="11"/>
      <x:c r="O48" s="11"/>
    </x:row>
    <x:row r="49" ht="60" customHeight="1">
      <x:c r="A49" s="11"/>
      <x:c r="B49" s="11"/>
      <x:c r="C49" s="11"/>
      <x:c r="D49" s="11"/>
      <x:c r="E49" s="15"/>
      <x:c r="F49" s="15"/>
      <x:c r="G49" s="11"/>
      <x:c r="H49" s="11"/>
      <x:c r="I49" s="11"/>
      <x:c r="J49" s="11"/>
      <x:c r="K49" s="11"/>
      <x:c r="L49" s="15"/>
      <x:c r="M49" s="14"/>
      <x:c r="N49" s="11"/>
      <x:c r="O49" s="11"/>
    </x:row>
    <x:row r="50" ht="60" customHeight="1">
      <x:c r="A50" s="11"/>
      <x:c r="B50" s="11"/>
      <x:c r="C50" s="11"/>
      <x:c r="D50" s="11"/>
      <x:c r="E50" s="15"/>
      <x:c r="F50" s="15"/>
      <x:c r="G50" s="11"/>
      <x:c r="H50" s="11"/>
      <x:c r="I50" s="11"/>
      <x:c r="J50" s="11"/>
      <x:c r="K50" s="11"/>
      <x:c r="L50" s="15"/>
      <x:c r="M50" s="14"/>
      <x:c r="N50" s="11"/>
      <x:c r="O50" s="11"/>
    </x:row>
    <x:row r="51" ht="60" customHeight="1">
      <x:c r="A51" s="11"/>
      <x:c r="B51" s="11"/>
      <x:c r="C51" s="11"/>
      <x:c r="D51" s="11"/>
      <x:c r="E51" s="15"/>
      <x:c r="F51" s="15"/>
      <x:c r="G51" s="11"/>
      <x:c r="H51" s="11"/>
      <x:c r="I51" s="11"/>
      <x:c r="J51" s="11"/>
      <x:c r="K51" s="11"/>
      <x:c r="L51" s="15"/>
      <x:c r="M51" s="14"/>
      <x:c r="N51" s="11"/>
      <x:c r="O51" s="11"/>
    </x:row>
    <x:row r="52" ht="60" customHeight="1">
      <x:c r="A52" s="11"/>
      <x:c r="B52" s="11"/>
      <x:c r="C52" s="11"/>
      <x:c r="D52" s="11"/>
      <x:c r="E52" s="15"/>
      <x:c r="F52" s="15"/>
      <x:c r="G52" s="11"/>
      <x:c r="H52" s="11"/>
      <x:c r="I52" s="11"/>
      <x:c r="J52" s="11"/>
      <x:c r="K52" s="11"/>
      <x:c r="L52" s="15"/>
      <x:c r="M52" s="14"/>
      <x:c r="N52" s="11"/>
      <x:c r="O52" s="11"/>
    </x:row>
    <x:row r="53" ht="60" customHeight="1">
      <x:c r="A53" s="11"/>
      <x:c r="B53" s="11"/>
      <x:c r="C53" s="11"/>
      <x:c r="D53" s="11"/>
      <x:c r="E53" s="15"/>
      <x:c r="F53" s="15"/>
      <x:c r="G53" s="11"/>
      <x:c r="H53" s="11"/>
      <x:c r="I53" s="11"/>
      <x:c r="J53" s="11"/>
      <x:c r="K53" s="11"/>
      <x:c r="L53" s="15"/>
      <x:c r="M53" s="14"/>
      <x:c r="N53" s="11"/>
      <x:c r="O53" s="11"/>
    </x:row>
    <x:row r="54" ht="60" customHeight="1">
      <x:c r="A54" s="11"/>
      <x:c r="B54" s="11"/>
      <x:c r="C54" s="11"/>
      <x:c r="D54" s="11"/>
      <x:c r="E54" s="15"/>
      <x:c r="F54" s="15"/>
      <x:c r="G54" s="11"/>
      <x:c r="H54" s="11"/>
      <x:c r="I54" s="11"/>
      <x:c r="J54" s="11"/>
      <x:c r="K54" s="11"/>
      <x:c r="L54" s="15"/>
      <x:c r="M54" s="14"/>
      <x:c r="N54" s="11"/>
      <x:c r="O54" s="11"/>
    </x:row>
    <x:row r="55" ht="60" customHeight="1">
      <x:c r="A55" s="11"/>
      <x:c r="B55" s="11"/>
      <x:c r="C55" s="11"/>
      <x:c r="D55" s="11"/>
      <x:c r="E55" s="15"/>
      <x:c r="F55" s="15"/>
      <x:c r="G55" s="11"/>
      <x:c r="H55" s="11"/>
      <x:c r="I55" s="11"/>
      <x:c r="J55" s="11"/>
      <x:c r="K55" s="11"/>
      <x:c r="L55" s="15"/>
      <x:c r="M55" s="14"/>
      <x:c r="N55" s="11"/>
      <x:c r="O55" s="11"/>
    </x:row>
    <x:row r="56" ht="60" customHeight="1">
      <x:c r="A56" s="11"/>
      <x:c r="B56" s="11"/>
      <x:c r="C56" s="11"/>
      <x:c r="D56" s="11"/>
      <x:c r="E56" s="15"/>
      <x:c r="F56" s="15"/>
      <x:c r="G56" s="11"/>
      <x:c r="H56" s="11"/>
      <x:c r="I56" s="11"/>
      <x:c r="J56" s="11"/>
      <x:c r="K56" s="11"/>
      <x:c r="L56" s="15"/>
      <x:c r="M56" s="14"/>
      <x:c r="N56" s="11"/>
      <x:c r="O56" s="11"/>
    </x:row>
    <x:row r="57" ht="60" customHeight="1">
      <x:c r="A57" s="11"/>
      <x:c r="B57" s="11"/>
      <x:c r="C57" s="11"/>
      <x:c r="D57" s="11"/>
      <x:c r="E57" s="15"/>
      <x:c r="F57" s="15"/>
      <x:c r="G57" s="11"/>
      <x:c r="H57" s="11"/>
      <x:c r="I57" s="11"/>
      <x:c r="J57" s="11"/>
      <x:c r="K57" s="11"/>
      <x:c r="L57" s="15"/>
      <x:c r="M57" s="14"/>
      <x:c r="N57" s="11"/>
      <x:c r="O57" s="11"/>
    </x:row>
    <x:row r="58" ht="60" customHeight="1">
      <x:c r="A58" s="11"/>
      <x:c r="B58" s="11"/>
      <x:c r="C58" s="11"/>
      <x:c r="D58" s="11"/>
      <x:c r="E58" s="15"/>
      <x:c r="F58" s="15"/>
      <x:c r="G58" s="11"/>
      <x:c r="H58" s="11"/>
      <x:c r="I58" s="11"/>
      <x:c r="J58" s="11"/>
      <x:c r="K58" s="11"/>
      <x:c r="L58" s="15"/>
      <x:c r="M58" s="14"/>
      <x:c r="N58" s="11"/>
      <x:c r="O58" s="11"/>
    </x:row>
    <x:row r="59" ht="60" customHeight="1">
      <x:c r="A59" s="11"/>
      <x:c r="B59" s="11"/>
      <x:c r="C59" s="11"/>
      <x:c r="D59" s="11"/>
      <x:c r="E59" s="15"/>
      <x:c r="F59" s="15"/>
      <x:c r="G59" s="11"/>
      <x:c r="H59" s="11"/>
      <x:c r="I59" s="11"/>
      <x:c r="J59" s="11"/>
      <x:c r="K59" s="11"/>
      <x:c r="L59" s="15"/>
      <x:c r="M59" s="14"/>
      <x:c r="N59" s="11"/>
      <x:c r="O59" s="11"/>
    </x:row>
    <x:row r="60" ht="60" customHeight="1">
      <x:c r="A60" s="11"/>
      <x:c r="B60" s="11"/>
      <x:c r="C60" s="11"/>
      <x:c r="D60" s="11"/>
      <x:c r="E60" s="15"/>
      <x:c r="F60" s="15"/>
      <x:c r="G60" s="11"/>
      <x:c r="H60" s="11"/>
      <x:c r="I60" s="11"/>
      <x:c r="J60" s="11"/>
      <x:c r="K60" s="11"/>
      <x:c r="L60" s="15"/>
      <x:c r="M60" s="14"/>
      <x:c r="N60" s="11"/>
      <x:c r="O60" s="11"/>
    </x:row>
    <x:row r="61" ht="60" customHeight="1">
      <x:c r="A61" s="11"/>
      <x:c r="B61" s="11"/>
      <x:c r="C61" s="11"/>
      <x:c r="D61" s="11"/>
      <x:c r="E61" s="15"/>
      <x:c r="F61" s="15"/>
      <x:c r="G61" s="11"/>
      <x:c r="H61" s="11"/>
      <x:c r="I61" s="11"/>
      <x:c r="J61" s="11"/>
      <x:c r="K61" s="11"/>
      <x:c r="L61" s="15"/>
      <x:c r="M61" s="14"/>
      <x:c r="N61" s="11"/>
      <x:c r="O61" s="11"/>
    </x:row>
    <x:row r="62" ht="60" customHeight="1">
      <x:c r="A62" s="11"/>
      <x:c r="B62" s="11"/>
      <x:c r="C62" s="11"/>
      <x:c r="D62" s="11"/>
      <x:c r="E62" s="15"/>
      <x:c r="F62" s="15"/>
      <x:c r="G62" s="11"/>
      <x:c r="H62" s="11"/>
      <x:c r="I62" s="11"/>
      <x:c r="J62" s="11"/>
      <x:c r="K62" s="11"/>
      <x:c r="L62" s="15"/>
      <x:c r="M62" s="14"/>
      <x:c r="N62" s="11"/>
      <x:c r="O62" s="11"/>
    </x:row>
    <x:row r="63" ht="60" customHeight="1">
      <x:c r="A63" s="11"/>
      <x:c r="B63" s="11"/>
      <x:c r="C63" s="11"/>
      <x:c r="D63" s="11"/>
      <x:c r="E63" s="15"/>
      <x:c r="F63" s="15"/>
      <x:c r="G63" s="11"/>
      <x:c r="H63" s="11"/>
      <x:c r="I63" s="11"/>
      <x:c r="J63" s="11"/>
      <x:c r="K63" s="11"/>
      <x:c r="L63" s="15"/>
      <x:c r="M63" s="14"/>
      <x:c r="N63" s="11"/>
      <x:c r="O63" s="11"/>
    </x:row>
    <x:row r="64" ht="60" customHeight="1">
      <x:c r="A64" s="11"/>
      <x:c r="B64" s="11"/>
      <x:c r="C64" s="11"/>
      <x:c r="D64" s="11"/>
      <x:c r="E64" s="15"/>
      <x:c r="F64" s="15"/>
      <x:c r="G64" s="11"/>
      <x:c r="H64" s="11"/>
      <x:c r="I64" s="11"/>
      <x:c r="J64" s="11"/>
      <x:c r="K64" s="11"/>
      <x:c r="L64" s="15"/>
      <x:c r="M64" s="14"/>
      <x:c r="N64" s="11"/>
      <x:c r="O64" s="11"/>
    </x:row>
    <x:row r="65" ht="60" customHeight="1">
      <x:c r="A65" s="11"/>
      <x:c r="B65" s="11"/>
      <x:c r="C65" s="11"/>
      <x:c r="D65" s="11"/>
      <x:c r="E65" s="15"/>
      <x:c r="F65" s="15"/>
      <x:c r="G65" s="11"/>
      <x:c r="H65" s="11"/>
      <x:c r="I65" s="11"/>
      <x:c r="J65" s="11"/>
      <x:c r="K65" s="11"/>
      <x:c r="L65" s="15"/>
      <x:c r="M65" s="14"/>
      <x:c r="N65" s="11"/>
      <x:c r="O65" s="11"/>
    </x:row>
    <x:row r="66" ht="60" customHeight="1">
      <x:c r="A66" s="11"/>
      <x:c r="B66" s="11"/>
      <x:c r="C66" s="11"/>
      <x:c r="D66" s="11"/>
      <x:c r="E66" s="15"/>
      <x:c r="F66" s="15"/>
      <x:c r="G66" s="11"/>
      <x:c r="H66" s="11"/>
      <x:c r="I66" s="11"/>
      <x:c r="J66" s="11"/>
      <x:c r="K66" s="11"/>
      <x:c r="L66" s="15"/>
      <x:c r="M66" s="14"/>
      <x:c r="N66" s="11"/>
      <x:c r="O66" s="11"/>
    </x:row>
    <x:row r="67" ht="60" customHeight="1">
      <x:c r="A67" s="11"/>
      <x:c r="B67" s="11"/>
      <x:c r="C67" s="11"/>
      <x:c r="D67" s="11"/>
      <x:c r="E67" s="15"/>
      <x:c r="F67" s="15"/>
      <x:c r="G67" s="11"/>
      <x:c r="H67" s="11"/>
      <x:c r="I67" s="11"/>
      <x:c r="J67" s="11"/>
      <x:c r="K67" s="11"/>
      <x:c r="L67" s="15"/>
      <x:c r="M67" s="14"/>
      <x:c r="N67" s="11"/>
      <x:c r="O67" s="11"/>
    </x:row>
    <x:row r="68" ht="60" customHeight="1">
      <x:c r="A68" s="11"/>
      <x:c r="B68" s="11"/>
      <x:c r="C68" s="11"/>
      <x:c r="D68" s="11"/>
      <x:c r="E68" s="15"/>
      <x:c r="F68" s="15"/>
      <x:c r="G68" s="11"/>
      <x:c r="H68" s="11"/>
      <x:c r="I68" s="11"/>
      <x:c r="J68" s="11"/>
      <x:c r="K68" s="11"/>
      <x:c r="L68" s="15"/>
      <x:c r="M68" s="14"/>
      <x:c r="N68" s="11"/>
      <x:c r="O68" s="11"/>
    </x:row>
    <x:row r="69" ht="60" customHeight="1">
      <x:c r="A69" s="11"/>
      <x:c r="B69" s="11"/>
      <x:c r="C69" s="11"/>
      <x:c r="D69" s="11"/>
      <x:c r="E69" s="15"/>
      <x:c r="F69" s="15"/>
      <x:c r="G69" s="11"/>
      <x:c r="H69" s="11"/>
      <x:c r="I69" s="11"/>
      <x:c r="J69" s="11"/>
      <x:c r="K69" s="11"/>
      <x:c r="L69" s="15"/>
      <x:c r="M69" s="14"/>
      <x:c r="N69" s="11"/>
      <x:c r="O69" s="11"/>
    </x:row>
    <x:row r="70" ht="60" customHeight="1">
      <x:c r="A70" s="11"/>
      <x:c r="B70" s="11"/>
      <x:c r="C70" s="11"/>
      <x:c r="D70" s="11"/>
      <x:c r="E70" s="15"/>
      <x:c r="F70" s="15"/>
      <x:c r="G70" s="11"/>
      <x:c r="H70" s="11"/>
      <x:c r="I70" s="11"/>
      <x:c r="J70" s="11"/>
      <x:c r="K70" s="11"/>
      <x:c r="L70" s="15"/>
      <x:c r="M70" s="14"/>
      <x:c r="N70" s="11"/>
      <x:c r="O70" s="11"/>
    </x:row>
    <x:row r="71" ht="60" customHeight="1">
      <x:c r="A71" s="11"/>
      <x:c r="B71" s="11"/>
      <x:c r="C71" s="11"/>
      <x:c r="D71" s="11"/>
      <x:c r="E71" s="15"/>
      <x:c r="F71" s="15"/>
      <x:c r="G71" s="11"/>
      <x:c r="H71" s="11"/>
      <x:c r="I71" s="11"/>
      <x:c r="J71" s="11"/>
      <x:c r="K71" s="11"/>
      <x:c r="L71" s="15"/>
      <x:c r="M71" s="14"/>
      <x:c r="N71" s="11"/>
      <x:c r="O71" s="11"/>
    </x:row>
    <x:row r="72" ht="60" customHeight="1">
      <x:c r="A72" s="11"/>
      <x:c r="B72" s="11"/>
      <x:c r="C72" s="11"/>
      <x:c r="D72" s="11"/>
      <x:c r="E72" s="15"/>
      <x:c r="F72" s="15"/>
      <x:c r="G72" s="11"/>
      <x:c r="H72" s="11"/>
      <x:c r="I72" s="11"/>
      <x:c r="J72" s="11"/>
      <x:c r="K72" s="11"/>
      <x:c r="L72" s="15"/>
      <x:c r="M72" s="14"/>
      <x:c r="N72" s="11"/>
      <x:c r="O72" s="11"/>
    </x:row>
    <x:row r="73" ht="60" customHeight="1">
      <x:c r="A73" s="11"/>
      <x:c r="B73" s="11"/>
      <x:c r="C73" s="11"/>
      <x:c r="D73" s="11"/>
      <x:c r="E73" s="15"/>
      <x:c r="F73" s="15"/>
      <x:c r="G73" s="11"/>
      <x:c r="H73" s="11"/>
      <x:c r="I73" s="11"/>
      <x:c r="J73" s="11"/>
      <x:c r="K73" s="11"/>
      <x:c r="L73" s="15"/>
      <x:c r="M73" s="14"/>
      <x:c r="N73" s="11"/>
      <x:c r="O73" s="11"/>
    </x:row>
    <x:row r="74" ht="60" customHeight="1">
      <x:c r="A74" s="11"/>
      <x:c r="B74" s="11"/>
      <x:c r="C74" s="11"/>
      <x:c r="D74" s="11"/>
      <x:c r="E74" s="15"/>
      <x:c r="F74" s="15"/>
      <x:c r="G74" s="11"/>
      <x:c r="H74" s="11"/>
      <x:c r="I74" s="11"/>
      <x:c r="J74" s="11"/>
      <x:c r="K74" s="11"/>
      <x:c r="L74" s="15"/>
      <x:c r="M74" s="14"/>
      <x:c r="N74" s="11"/>
      <x:c r="O74" s="11"/>
    </x:row>
    <x:row r="75" ht="60" customHeight="1">
      <x:c r="A75" s="11"/>
      <x:c r="B75" s="11"/>
      <x:c r="C75" s="11"/>
      <x:c r="D75" s="11"/>
      <x:c r="E75" s="15"/>
      <x:c r="F75" s="15"/>
      <x:c r="G75" s="11"/>
      <x:c r="H75" s="11"/>
      <x:c r="I75" s="11"/>
      <x:c r="J75" s="11"/>
      <x:c r="K75" s="11"/>
      <x:c r="L75" s="15"/>
      <x:c r="M75" s="14"/>
      <x:c r="N75" s="11"/>
      <x:c r="O75" s="11"/>
    </x:row>
    <x:row r="76" ht="60" customHeight="1">
      <x:c r="A76" s="11"/>
      <x:c r="B76" s="11"/>
      <x:c r="C76" s="11"/>
      <x:c r="D76" s="11"/>
      <x:c r="E76" s="15"/>
      <x:c r="F76" s="15"/>
      <x:c r="G76" s="11"/>
      <x:c r="H76" s="11"/>
      <x:c r="I76" s="11"/>
      <x:c r="J76" s="11"/>
      <x:c r="K76" s="11"/>
      <x:c r="L76" s="15"/>
      <x:c r="M76" s="14"/>
      <x:c r="N76" s="11"/>
      <x:c r="O76" s="11"/>
    </x:row>
    <x:row r="77" ht="60" customHeight="1">
      <x:c r="A77" s="11"/>
      <x:c r="B77" s="11"/>
      <x:c r="C77" s="11"/>
      <x:c r="D77" s="11"/>
      <x:c r="E77" s="15"/>
      <x:c r="F77" s="15"/>
      <x:c r="G77" s="11"/>
      <x:c r="H77" s="11"/>
      <x:c r="I77" s="11"/>
      <x:c r="J77" s="11"/>
      <x:c r="K77" s="11"/>
      <x:c r="L77" s="15"/>
      <x:c r="M77" s="14"/>
      <x:c r="N77" s="11"/>
      <x:c r="O77" s="11"/>
    </x:row>
    <x:row r="78" ht="60" customHeight="1">
      <x:c r="A78" s="11"/>
      <x:c r="B78" s="11"/>
      <x:c r="C78" s="11"/>
      <x:c r="D78" s="11"/>
      <x:c r="E78" s="15"/>
      <x:c r="F78" s="15"/>
      <x:c r="G78" s="11"/>
      <x:c r="H78" s="11"/>
      <x:c r="I78" s="11"/>
      <x:c r="J78" s="11"/>
      <x:c r="K78" s="11"/>
      <x:c r="L78" s="15"/>
      <x:c r="M78" s="14"/>
      <x:c r="N78" s="11"/>
      <x:c r="O78" s="11"/>
    </x:row>
    <x:row r="79" ht="60" customHeight="1">
      <x:c r="A79" s="11"/>
      <x:c r="B79" s="11"/>
      <x:c r="C79" s="11"/>
      <x:c r="D79" s="11"/>
      <x:c r="E79" s="15"/>
      <x:c r="F79" s="15"/>
      <x:c r="G79" s="11"/>
      <x:c r="H79" s="11"/>
      <x:c r="I79" s="11"/>
      <x:c r="J79" s="11"/>
      <x:c r="K79" s="11"/>
      <x:c r="L79" s="15"/>
      <x:c r="M79" s="14"/>
      <x:c r="N79" s="11"/>
      <x:c r="O79" s="11"/>
    </x:row>
    <x:row r="80" ht="60" customHeight="1">
      <x:c r="A80" s="11"/>
      <x:c r="B80" s="11"/>
      <x:c r="C80" s="11"/>
      <x:c r="D80" s="11"/>
      <x:c r="E80" s="15"/>
      <x:c r="F80" s="15"/>
      <x:c r="G80" s="11"/>
      <x:c r="H80" s="11"/>
      <x:c r="I80" s="11"/>
      <x:c r="J80" s="11"/>
      <x:c r="K80" s="11"/>
      <x:c r="L80" s="15"/>
      <x:c r="M80" s="14"/>
      <x:c r="N80" s="11"/>
      <x:c r="O80" s="11"/>
    </x:row>
    <x:row r="81" ht="60" customHeight="1">
      <x:c r="A81" s="11"/>
      <x:c r="B81" s="11"/>
      <x:c r="C81" s="11"/>
      <x:c r="D81" s="11"/>
      <x:c r="E81" s="15"/>
      <x:c r="F81" s="15"/>
      <x:c r="G81" s="11"/>
      <x:c r="H81" s="11"/>
      <x:c r="I81" s="11"/>
      <x:c r="J81" s="11"/>
      <x:c r="K81" s="11"/>
      <x:c r="L81" s="15"/>
      <x:c r="M81" s="14"/>
      <x:c r="N81" s="11"/>
      <x:c r="O81" s="11"/>
    </x:row>
    <x:row r="82" ht="60" customHeight="1">
      <x:c r="A82" s="11"/>
      <x:c r="B82" s="11"/>
      <x:c r="C82" s="11"/>
      <x:c r="D82" s="11"/>
      <x:c r="E82" s="15"/>
      <x:c r="F82" s="15"/>
      <x:c r="G82" s="11"/>
      <x:c r="H82" s="11"/>
      <x:c r="I82" s="11"/>
      <x:c r="J82" s="11"/>
      <x:c r="K82" s="11"/>
      <x:c r="L82" s="15"/>
      <x:c r="M82" s="14"/>
      <x:c r="N82" s="11"/>
      <x:c r="O82" s="11"/>
    </x:row>
    <x:row r="83" ht="60" customHeight="1">
      <x:c r="A83" s="11"/>
      <x:c r="B83" s="11"/>
      <x:c r="C83" s="11"/>
      <x:c r="D83" s="11"/>
      <x:c r="E83" s="15"/>
      <x:c r="F83" s="15"/>
      <x:c r="G83" s="11"/>
      <x:c r="H83" s="11"/>
      <x:c r="I83" s="11"/>
      <x:c r="J83" s="11"/>
      <x:c r="K83" s="11"/>
      <x:c r="L83" s="15"/>
      <x:c r="M83" s="14"/>
      <x:c r="N83" s="11"/>
      <x:c r="O83" s="11"/>
    </x:row>
    <x:row r="84" ht="60" customHeight="1">
      <x:c r="A84" s="11"/>
      <x:c r="B84" s="11"/>
      <x:c r="C84" s="11"/>
      <x:c r="D84" s="11"/>
      <x:c r="E84" s="15"/>
      <x:c r="F84" s="15"/>
      <x:c r="G84" s="11"/>
      <x:c r="H84" s="11"/>
      <x:c r="I84" s="11"/>
      <x:c r="J84" s="11"/>
      <x:c r="K84" s="11"/>
      <x:c r="L84" s="15"/>
      <x:c r="M84" s="14"/>
      <x:c r="N84" s="11"/>
      <x:c r="O84" s="11"/>
    </x:row>
    <x:row r="85" ht="60" customHeight="1">
      <x:c r="A85" s="11"/>
      <x:c r="B85" s="11"/>
      <x:c r="C85" s="11"/>
      <x:c r="D85" s="11"/>
      <x:c r="E85" s="15"/>
      <x:c r="F85" s="15"/>
      <x:c r="G85" s="11"/>
      <x:c r="H85" s="11"/>
      <x:c r="I85" s="11"/>
      <x:c r="J85" s="11"/>
      <x:c r="K85" s="11"/>
      <x:c r="L85" s="15"/>
      <x:c r="M85" s="14"/>
      <x:c r="N85" s="11"/>
      <x:c r="O85" s="11"/>
    </x:row>
    <x:row r="86" ht="60" customHeight="1">
      <x:c r="A86" s="11"/>
      <x:c r="B86" s="11"/>
      <x:c r="C86" s="11"/>
      <x:c r="D86" s="11"/>
      <x:c r="E86" s="15"/>
      <x:c r="F86" s="15"/>
      <x:c r="G86" s="11"/>
      <x:c r="H86" s="11"/>
      <x:c r="I86" s="11"/>
      <x:c r="J86" s="11"/>
      <x:c r="K86" s="11"/>
      <x:c r="L86" s="15"/>
      <x:c r="M86" s="14"/>
      <x:c r="N86" s="11"/>
      <x:c r="O86" s="11"/>
    </x:row>
    <x:row r="87" ht="60" customHeight="1">
      <x:c r="A87" s="11"/>
      <x:c r="B87" s="11"/>
      <x:c r="C87" s="11"/>
      <x:c r="D87" s="11"/>
      <x:c r="E87" s="15"/>
      <x:c r="F87" s="15"/>
      <x:c r="G87" s="11"/>
      <x:c r="H87" s="11"/>
      <x:c r="I87" s="11"/>
      <x:c r="J87" s="11"/>
      <x:c r="K87" s="11"/>
      <x:c r="L87" s="15"/>
      <x:c r="M87" s="14"/>
      <x:c r="N87" s="11"/>
      <x:c r="O87" s="11"/>
    </x:row>
    <x:row r="88" ht="60" customHeight="1">
      <x:c r="A88" s="11"/>
      <x:c r="B88" s="11"/>
      <x:c r="C88" s="11"/>
      <x:c r="D88" s="11"/>
      <x:c r="E88" s="15"/>
      <x:c r="F88" s="15"/>
      <x:c r="G88" s="11"/>
      <x:c r="H88" s="11"/>
      <x:c r="I88" s="11"/>
      <x:c r="J88" s="11"/>
      <x:c r="K88" s="11"/>
      <x:c r="L88" s="15"/>
      <x:c r="M88" s="14"/>
      <x:c r="N88" s="11"/>
      <x:c r="O88" s="11"/>
    </x:row>
    <x:row r="89" ht="60" customHeight="1">
      <x:c r="A89" s="11"/>
      <x:c r="B89" s="11"/>
      <x:c r="C89" s="11"/>
      <x:c r="D89" s="11"/>
      <x:c r="E89" s="15"/>
      <x:c r="F89" s="15"/>
      <x:c r="G89" s="11"/>
      <x:c r="H89" s="11"/>
      <x:c r="I89" s="11"/>
      <x:c r="J89" s="11"/>
      <x:c r="K89" s="11"/>
      <x:c r="L89" s="15"/>
      <x:c r="M89" s="14"/>
      <x:c r="N89" s="11"/>
      <x:c r="O89" s="11"/>
    </x:row>
    <x:row r="90" ht="60" customHeight="1">
      <x:c r="A90" s="11"/>
      <x:c r="B90" s="11"/>
      <x:c r="C90" s="11"/>
      <x:c r="D90" s="11"/>
      <x:c r="E90" s="15"/>
      <x:c r="F90" s="15"/>
      <x:c r="G90" s="11"/>
      <x:c r="H90" s="11"/>
      <x:c r="I90" s="11"/>
      <x:c r="J90" s="11"/>
      <x:c r="K90" s="11"/>
      <x:c r="L90" s="15"/>
      <x:c r="M90" s="14"/>
      <x:c r="N90" s="11"/>
      <x:c r="O90" s="11"/>
    </x:row>
    <x:row r="91" ht="60" customHeight="1">
      <x:c r="A91" s="11"/>
      <x:c r="B91" s="11"/>
      <x:c r="C91" s="11"/>
      <x:c r="D91" s="11"/>
      <x:c r="E91" s="15"/>
      <x:c r="F91" s="15"/>
      <x:c r="G91" s="11"/>
      <x:c r="H91" s="11"/>
      <x:c r="I91" s="11"/>
      <x:c r="J91" s="11"/>
      <x:c r="K91" s="11"/>
      <x:c r="L91" s="15"/>
      <x:c r="M91" s="14"/>
      <x:c r="N91" s="11"/>
      <x:c r="O91" s="11"/>
    </x:row>
    <x:row r="92" ht="60" customHeight="1">
      <x:c r="A92" s="11"/>
      <x:c r="B92" s="11"/>
      <x:c r="C92" s="11"/>
      <x:c r="D92" s="11"/>
      <x:c r="E92" s="15"/>
      <x:c r="F92" s="15"/>
      <x:c r="G92" s="11"/>
      <x:c r="H92" s="11"/>
      <x:c r="I92" s="11"/>
      <x:c r="J92" s="11"/>
      <x:c r="K92" s="11"/>
      <x:c r="L92" s="15"/>
      <x:c r="M92" s="14"/>
      <x:c r="N92" s="11"/>
      <x:c r="O92" s="11"/>
    </x:row>
    <x:row r="93" ht="60" customHeight="1">
      <x:c r="A93" s="11"/>
      <x:c r="B93" s="11"/>
      <x:c r="C93" s="11"/>
      <x:c r="D93" s="11"/>
      <x:c r="E93" s="15"/>
      <x:c r="F93" s="15"/>
      <x:c r="G93" s="11"/>
      <x:c r="H93" s="11"/>
      <x:c r="I93" s="11"/>
      <x:c r="J93" s="11"/>
      <x:c r="K93" s="11"/>
      <x:c r="L93" s="15"/>
      <x:c r="M93" s="14"/>
      <x:c r="N93" s="11"/>
      <x:c r="O93" s="11"/>
    </x:row>
    <x:row r="94" ht="60" customHeight="1">
      <x:c r="A94" s="11"/>
      <x:c r="B94" s="11"/>
      <x:c r="C94" s="11"/>
      <x:c r="D94" s="11"/>
      <x:c r="E94" s="15"/>
      <x:c r="F94" s="15"/>
      <x:c r="G94" s="11"/>
      <x:c r="H94" s="11"/>
      <x:c r="I94" s="11"/>
      <x:c r="J94" s="11"/>
      <x:c r="K94" s="11"/>
      <x:c r="L94" s="15"/>
      <x:c r="M94" s="14"/>
      <x:c r="N94" s="11"/>
      <x:c r="O94" s="11"/>
    </x:row>
    <x:row r="95" ht="60" customHeight="1">
      <x:c r="A95" s="11"/>
      <x:c r="B95" s="11"/>
      <x:c r="C95" s="11"/>
      <x:c r="D95" s="11"/>
      <x:c r="E95" s="15"/>
      <x:c r="F95" s="15"/>
      <x:c r="G95" s="11"/>
      <x:c r="H95" s="11"/>
      <x:c r="I95" s="11"/>
      <x:c r="J95" s="11"/>
      <x:c r="K95" s="11"/>
      <x:c r="L95" s="15"/>
      <x:c r="M95" s="14"/>
      <x:c r="N95" s="11"/>
      <x:c r="O95" s="11"/>
    </x:row>
    <x:row r="96" ht="60" customHeight="1">
      <x:c r="A96" s="11"/>
      <x:c r="B96" s="11"/>
      <x:c r="C96" s="11"/>
      <x:c r="D96" s="11"/>
      <x:c r="E96" s="15"/>
      <x:c r="F96" s="15"/>
      <x:c r="G96" s="11"/>
      <x:c r="H96" s="11"/>
      <x:c r="I96" s="11"/>
      <x:c r="J96" s="11"/>
      <x:c r="K96" s="11"/>
      <x:c r="L96" s="15"/>
      <x:c r="M96" s="14"/>
      <x:c r="N96" s="11"/>
      <x:c r="O96" s="11"/>
    </x:row>
    <x:row r="97" ht="60" customHeight="1">
      <x:c r="A97" s="11"/>
      <x:c r="B97" s="11"/>
      <x:c r="C97" s="11"/>
      <x:c r="D97" s="11"/>
      <x:c r="E97" s="15"/>
      <x:c r="F97" s="15"/>
      <x:c r="G97" s="11"/>
      <x:c r="H97" s="11"/>
      <x:c r="I97" s="11"/>
      <x:c r="J97" s="11"/>
      <x:c r="K97" s="11"/>
      <x:c r="L97" s="15"/>
      <x:c r="M97" s="14"/>
      <x:c r="N97" s="11"/>
      <x:c r="O97" s="11"/>
    </x:row>
    <x:row r="98" ht="60" customHeight="1">
      <x:c r="A98" s="11"/>
      <x:c r="B98" s="11"/>
      <x:c r="C98" s="11"/>
      <x:c r="D98" s="11"/>
      <x:c r="E98" s="15"/>
      <x:c r="F98" s="15"/>
      <x:c r="G98" s="11"/>
      <x:c r="H98" s="11"/>
      <x:c r="I98" s="11"/>
      <x:c r="J98" s="11"/>
      <x:c r="K98" s="11"/>
      <x:c r="L98" s="15"/>
      <x:c r="M98" s="14"/>
      <x:c r="N98" s="11"/>
      <x:c r="O98" s="11"/>
    </x:row>
    <x:row r="99" ht="60" customHeight="1">
      <x:c r="A99" s="11"/>
      <x:c r="B99" s="11"/>
      <x:c r="C99" s="11"/>
      <x:c r="D99" s="11"/>
      <x:c r="E99" s="15"/>
      <x:c r="F99" s="15"/>
      <x:c r="G99" s="11"/>
      <x:c r="H99" s="11"/>
      <x:c r="I99" s="11"/>
      <x:c r="J99" s="11"/>
      <x:c r="K99" s="11"/>
      <x:c r="L99" s="15"/>
      <x:c r="M99" s="14"/>
      <x:c r="N99" s="11"/>
      <x:c r="O99" s="11"/>
    </x:row>
    <x:row r="100" ht="60" customHeight="1">
      <x:c r="A100" s="11"/>
      <x:c r="B100" s="11"/>
      <x:c r="C100" s="11"/>
      <x:c r="D100" s="11"/>
      <x:c r="E100" s="15"/>
      <x:c r="F100" s="15"/>
      <x:c r="G100" s="11"/>
      <x:c r="H100" s="11"/>
      <x:c r="I100" s="11"/>
      <x:c r="J100" s="11"/>
      <x:c r="K100" s="11"/>
      <x:c r="L100" s="15"/>
      <x:c r="M100" s="14"/>
      <x:c r="N100" s="11"/>
      <x:c r="O100" s="11"/>
    </x:row>
    <x:row r="101" ht="60" customHeight="1">
      <x:c r="A101" s="11"/>
      <x:c r="B101" s="11"/>
      <x:c r="C101" s="11"/>
      <x:c r="D101" s="11"/>
      <x:c r="E101" s="15"/>
      <x:c r="F101" s="15"/>
      <x:c r="G101" s="11"/>
      <x:c r="H101" s="11"/>
      <x:c r="I101" s="11"/>
      <x:c r="J101" s="11"/>
      <x:c r="K101" s="11"/>
      <x:c r="L101" s="15"/>
      <x:c r="M101" s="14"/>
      <x:c r="N101" s="11"/>
      <x:c r="O101" s="11"/>
    </x:row>
    <x:row r="102" ht="60" customHeight="1">
      <x:c r="A102" s="11"/>
      <x:c r="B102" s="11"/>
      <x:c r="C102" s="11"/>
      <x:c r="D102" s="11"/>
      <x:c r="E102" s="15"/>
      <x:c r="F102" s="15"/>
      <x:c r="G102" s="11"/>
      <x:c r="H102" s="11"/>
      <x:c r="I102" s="11"/>
      <x:c r="J102" s="11"/>
      <x:c r="K102" s="11"/>
      <x:c r="L102" s="15"/>
      <x:c r="M102" s="14"/>
      <x:c r="N102" s="11"/>
      <x:c r="O102" s="11"/>
    </x:row>
    <x:row r="103" ht="60" customHeight="1">
      <x:c r="A103" s="11"/>
      <x:c r="B103" s="11"/>
      <x:c r="C103" s="11"/>
      <x:c r="D103" s="11"/>
      <x:c r="E103" s="15"/>
      <x:c r="F103" s="15"/>
      <x:c r="G103" s="11"/>
      <x:c r="H103" s="11"/>
      <x:c r="I103" s="11"/>
      <x:c r="J103" s="11"/>
      <x:c r="K103" s="11"/>
      <x:c r="L103" s="15"/>
      <x:c r="M103" s="14"/>
      <x:c r="N103" s="11"/>
      <x:c r="O103" s="11"/>
    </x:row>
    <x:row r="104" ht="60" customHeight="1">
      <x:c r="A104" s="11"/>
      <x:c r="B104" s="11"/>
      <x:c r="C104" s="11"/>
      <x:c r="D104" s="11"/>
      <x:c r="E104" s="15"/>
      <x:c r="F104" s="15"/>
      <x:c r="G104" s="11"/>
      <x:c r="H104" s="11"/>
      <x:c r="I104" s="11"/>
      <x:c r="J104" s="11"/>
      <x:c r="K104" s="11"/>
      <x:c r="L104" s="15"/>
      <x:c r="M104" s="14"/>
      <x:c r="N104" s="11"/>
      <x:c r="O104" s="11"/>
    </x:row>
    <x:row r="105" ht="60" customHeight="1">
      <x:c r="A105" s="11"/>
      <x:c r="B105" s="11"/>
      <x:c r="C105" s="11"/>
      <x:c r="D105" s="11"/>
      <x:c r="E105" s="15"/>
      <x:c r="F105" s="15"/>
      <x:c r="G105" s="11"/>
      <x:c r="H105" s="11"/>
      <x:c r="I105" s="11"/>
      <x:c r="J105" s="11"/>
      <x:c r="K105" s="11"/>
      <x:c r="L105" s="15"/>
      <x:c r="M105" s="14"/>
      <x:c r="N105" s="11"/>
      <x:c r="O105" s="11"/>
    </x:row>
    <x:row r="106" ht="60" customHeight="1">
      <x:c r="A106" s="11"/>
      <x:c r="B106" s="11"/>
      <x:c r="C106" s="11"/>
      <x:c r="D106" s="11"/>
      <x:c r="E106" s="15"/>
      <x:c r="F106" s="15"/>
      <x:c r="G106" s="11"/>
      <x:c r="H106" s="11"/>
      <x:c r="I106" s="11"/>
      <x:c r="J106" s="11"/>
      <x:c r="K106" s="11"/>
      <x:c r="L106" s="15"/>
      <x:c r="M106" s="14"/>
      <x:c r="N106" s="11"/>
      <x:c r="O106" s="11"/>
    </x:row>
    <x:row r="107" ht="60" customHeight="1">
      <x:c r="A107" s="11"/>
      <x:c r="B107" s="11"/>
      <x:c r="C107" s="11"/>
      <x:c r="D107" s="11"/>
      <x:c r="E107" s="15"/>
      <x:c r="F107" s="15"/>
      <x:c r="G107" s="11"/>
      <x:c r="H107" s="11"/>
      <x:c r="I107" s="11"/>
      <x:c r="J107" s="11"/>
      <x:c r="K107" s="11"/>
      <x:c r="L107" s="15"/>
      <x:c r="M107" s="14"/>
      <x:c r="N107" s="11"/>
      <x:c r="O107" s="11"/>
    </x:row>
    <x:row r="108" ht="60" customHeight="1">
      <x:c r="A108" s="11"/>
      <x:c r="B108" s="11"/>
      <x:c r="C108" s="11"/>
      <x:c r="D108" s="11"/>
      <x:c r="E108" s="15"/>
      <x:c r="F108" s="15"/>
      <x:c r="G108" s="11"/>
      <x:c r="H108" s="11"/>
      <x:c r="I108" s="11"/>
      <x:c r="J108" s="11"/>
      <x:c r="K108" s="11"/>
      <x:c r="L108" s="15"/>
      <x:c r="M108" s="14"/>
      <x:c r="N108" s="11"/>
      <x:c r="O108" s="11"/>
    </x:row>
    <x:row r="109" ht="60" customHeight="1">
      <x:c r="A109" s="11"/>
      <x:c r="B109" s="11"/>
      <x:c r="C109" s="11"/>
      <x:c r="D109" s="11"/>
      <x:c r="E109" s="15"/>
      <x:c r="F109" s="15"/>
      <x:c r="G109" s="11"/>
      <x:c r="H109" s="11"/>
      <x:c r="I109" s="11"/>
      <x:c r="J109" s="11"/>
      <x:c r="K109" s="11"/>
      <x:c r="L109" s="15"/>
      <x:c r="M109" s="14"/>
      <x:c r="N109" s="11"/>
      <x:c r="O109" s="11"/>
    </x:row>
    <x:row r="110" ht="60" customHeight="1">
      <x:c r="A110" s="11"/>
      <x:c r="B110" s="11"/>
      <x:c r="C110" s="11"/>
      <x:c r="D110" s="11"/>
      <x:c r="E110" s="15"/>
      <x:c r="F110" s="15"/>
      <x:c r="G110" s="11"/>
      <x:c r="H110" s="11"/>
      <x:c r="I110" s="11"/>
      <x:c r="J110" s="11"/>
      <x:c r="K110" s="11"/>
      <x:c r="L110" s="15"/>
      <x:c r="M110" s="14"/>
      <x:c r="N110" s="11"/>
      <x:c r="O110" s="11"/>
    </x:row>
    <x:row r="111" ht="60" customHeight="1">
      <x:c r="A111" s="11"/>
      <x:c r="B111" s="11"/>
      <x:c r="C111" s="11"/>
      <x:c r="D111" s="11"/>
      <x:c r="E111" s="15"/>
      <x:c r="F111" s="15"/>
      <x:c r="G111" s="11"/>
      <x:c r="H111" s="11"/>
      <x:c r="I111" s="11"/>
      <x:c r="J111" s="11"/>
      <x:c r="K111" s="11"/>
      <x:c r="L111" s="15"/>
      <x:c r="M111" s="14"/>
      <x:c r="N111" s="11"/>
      <x:c r="O111" s="11"/>
    </x:row>
    <x:row r="112" ht="60" customHeight="1">
      <x:c r="A112" s="11"/>
      <x:c r="B112" s="11"/>
      <x:c r="C112" s="11"/>
      <x:c r="D112" s="11"/>
      <x:c r="E112" s="15"/>
      <x:c r="F112" s="15"/>
      <x:c r="G112" s="11"/>
      <x:c r="H112" s="11"/>
      <x:c r="I112" s="11"/>
      <x:c r="J112" s="11"/>
      <x:c r="K112" s="11"/>
      <x:c r="L112" s="15"/>
      <x:c r="M112" s="14"/>
      <x:c r="N112" s="11"/>
      <x:c r="O112" s="11"/>
    </x:row>
    <x:row r="113" ht="60" customHeight="1">
      <x:c r="A113" s="11"/>
      <x:c r="B113" s="11"/>
      <x:c r="C113" s="11"/>
      <x:c r="D113" s="11"/>
      <x:c r="E113" s="15"/>
      <x:c r="F113" s="15"/>
      <x:c r="G113" s="11"/>
      <x:c r="H113" s="11"/>
      <x:c r="I113" s="11"/>
      <x:c r="J113" s="11"/>
      <x:c r="K113" s="11"/>
      <x:c r="L113" s="15"/>
      <x:c r="M113" s="14"/>
      <x:c r="N113" s="11"/>
      <x:c r="O113" s="11"/>
    </x:row>
    <x:row r="114" ht="60" customHeight="1">
      <x:c r="A114" s="11"/>
      <x:c r="B114" s="11"/>
      <x:c r="C114" s="11"/>
      <x:c r="D114" s="11"/>
      <x:c r="E114" s="15"/>
      <x:c r="F114" s="15"/>
      <x:c r="G114" s="11"/>
      <x:c r="H114" s="11"/>
      <x:c r="I114" s="11"/>
      <x:c r="J114" s="11"/>
      <x:c r="K114" s="11"/>
      <x:c r="L114" s="15"/>
      <x:c r="M114" s="14"/>
      <x:c r="N114" s="11"/>
      <x:c r="O114" s="11"/>
    </x:row>
    <x:row r="115" ht="60" customHeight="1">
      <x:c r="A115" s="11"/>
      <x:c r="B115" s="11"/>
      <x:c r="C115" s="11"/>
      <x:c r="D115" s="11"/>
      <x:c r="E115" s="15"/>
      <x:c r="F115" s="15"/>
      <x:c r="G115" s="11"/>
      <x:c r="H115" s="11"/>
      <x:c r="I115" s="11"/>
      <x:c r="J115" s="11"/>
      <x:c r="K115" s="11"/>
      <x:c r="L115" s="15"/>
      <x:c r="M115" s="14"/>
      <x:c r="N115" s="11"/>
      <x:c r="O115" s="11"/>
    </x:row>
    <x:row r="116" ht="60" customHeight="1">
      <x:c r="A116" s="11"/>
      <x:c r="B116" s="11"/>
      <x:c r="C116" s="11"/>
      <x:c r="D116" s="11"/>
      <x:c r="E116" s="15"/>
      <x:c r="F116" s="15"/>
      <x:c r="G116" s="11"/>
      <x:c r="H116" s="11"/>
      <x:c r="I116" s="11"/>
      <x:c r="J116" s="11"/>
      <x:c r="K116" s="11"/>
      <x:c r="L116" s="15"/>
      <x:c r="M116" s="14"/>
      <x:c r="N116" s="11"/>
      <x:c r="O116" s="11"/>
    </x:row>
    <x:row r="117" ht="60" customHeight="1">
      <x:c r="A117" s="11"/>
      <x:c r="B117" s="11"/>
      <x:c r="C117" s="11"/>
      <x:c r="D117" s="11"/>
      <x:c r="E117" s="15"/>
      <x:c r="F117" s="15"/>
      <x:c r="G117" s="11"/>
      <x:c r="H117" s="11"/>
      <x:c r="I117" s="11"/>
      <x:c r="J117" s="11"/>
      <x:c r="K117" s="11"/>
      <x:c r="L117" s="15"/>
      <x:c r="M117" s="14"/>
      <x:c r="N117" s="11"/>
      <x:c r="O117" s="11"/>
    </x:row>
    <x:row r="118" ht="60" customHeight="1">
      <x:c r="A118" s="11"/>
      <x:c r="B118" s="11"/>
      <x:c r="C118" s="11"/>
      <x:c r="D118" s="11"/>
      <x:c r="E118" s="15"/>
      <x:c r="F118" s="15"/>
      <x:c r="G118" s="11"/>
      <x:c r="H118" s="11"/>
      <x:c r="I118" s="11"/>
      <x:c r="J118" s="11"/>
      <x:c r="K118" s="11"/>
      <x:c r="L118" s="15"/>
      <x:c r="M118" s="14"/>
      <x:c r="N118" s="11"/>
      <x:c r="O118" s="11"/>
    </x:row>
    <x:row r="119" ht="60" customHeight="1">
      <x:c r="A119" s="11"/>
      <x:c r="B119" s="11"/>
      <x:c r="C119" s="11"/>
      <x:c r="D119" s="11"/>
      <x:c r="E119" s="15"/>
      <x:c r="F119" s="15"/>
      <x:c r="G119" s="11"/>
      <x:c r="H119" s="11"/>
      <x:c r="I119" s="11"/>
      <x:c r="J119" s="11"/>
      <x:c r="K119" s="11"/>
      <x:c r="L119" s="15"/>
      <x:c r="M119" s="14"/>
      <x:c r="N119" s="11"/>
      <x:c r="O119" s="11"/>
    </x:row>
    <x:row r="120" ht="60" customHeight="1">
      <x:c r="A120" s="11"/>
      <x:c r="B120" s="11"/>
      <x:c r="C120" s="11"/>
      <x:c r="D120" s="11"/>
      <x:c r="E120" s="15"/>
      <x:c r="F120" s="15"/>
      <x:c r="G120" s="11"/>
      <x:c r="H120" s="11"/>
      <x:c r="I120" s="11"/>
      <x:c r="J120" s="11"/>
      <x:c r="K120" s="11"/>
      <x:c r="L120" s="15"/>
      <x:c r="M120" s="14"/>
      <x:c r="N120" s="11"/>
      <x:c r="O120" s="11"/>
    </x:row>
    <x:row r="121" ht="60" customHeight="1">
      <x:c r="A121" s="11"/>
      <x:c r="B121" s="11"/>
      <x:c r="C121" s="11"/>
      <x:c r="D121" s="11"/>
      <x:c r="E121" s="15"/>
      <x:c r="F121" s="15"/>
      <x:c r="G121" s="11"/>
      <x:c r="H121" s="11"/>
      <x:c r="I121" s="11"/>
      <x:c r="J121" s="11"/>
      <x:c r="K121" s="11"/>
      <x:c r="L121" s="15"/>
      <x:c r="M121" s="14"/>
      <x:c r="N121" s="11"/>
      <x:c r="O121" s="11"/>
    </x:row>
    <x:row r="122" ht="60" customHeight="1">
      <x:c r="A122" s="11"/>
      <x:c r="B122" s="11"/>
      <x:c r="C122" s="11"/>
      <x:c r="D122" s="11"/>
      <x:c r="E122" s="15"/>
      <x:c r="F122" s="15"/>
      <x:c r="G122" s="11"/>
      <x:c r="H122" s="11"/>
      <x:c r="I122" s="11"/>
      <x:c r="J122" s="11"/>
      <x:c r="K122" s="11"/>
      <x:c r="L122" s="15"/>
      <x:c r="M122" s="14"/>
      <x:c r="N122" s="11"/>
      <x:c r="O122" s="11"/>
    </x:row>
    <x:row r="123" ht="60" customHeight="1">
      <x:c r="A123" s="11"/>
      <x:c r="B123" s="11"/>
      <x:c r="C123" s="11"/>
      <x:c r="D123" s="11"/>
      <x:c r="E123" s="15"/>
      <x:c r="F123" s="15"/>
      <x:c r="G123" s="11"/>
      <x:c r="H123" s="11"/>
      <x:c r="I123" s="11"/>
      <x:c r="J123" s="11"/>
      <x:c r="K123" s="11"/>
      <x:c r="L123" s="15"/>
      <x:c r="M123" s="14"/>
      <x:c r="N123" s="11"/>
      <x:c r="O123" s="11"/>
    </x:row>
    <x:row r="124" ht="60" customHeight="1">
      <x:c r="A124" s="11"/>
      <x:c r="B124" s="11"/>
      <x:c r="C124" s="11"/>
      <x:c r="D124" s="11"/>
      <x:c r="E124" s="15"/>
      <x:c r="F124" s="15"/>
      <x:c r="G124" s="11"/>
      <x:c r="H124" s="11"/>
      <x:c r="I124" s="11"/>
      <x:c r="J124" s="11"/>
      <x:c r="K124" s="11"/>
      <x:c r="L124" s="15"/>
      <x:c r="M124" s="14"/>
      <x:c r="N124" s="11"/>
      <x:c r="O124" s="11"/>
    </x:row>
    <x:row r="125" ht="60" customHeight="1">
      <x:c r="A125" s="11"/>
      <x:c r="B125" s="11"/>
      <x:c r="C125" s="11"/>
      <x:c r="D125" s="11"/>
      <x:c r="E125" s="15"/>
      <x:c r="F125" s="15"/>
      <x:c r="G125" s="11"/>
      <x:c r="H125" s="11"/>
      <x:c r="I125" s="11"/>
      <x:c r="J125" s="11"/>
      <x:c r="K125" s="11"/>
      <x:c r="L125" s="15"/>
      <x:c r="M125" s="14"/>
      <x:c r="N125" s="11"/>
      <x:c r="O125" s="11"/>
    </x:row>
    <x:row r="126" ht="60" customHeight="1">
      <x:c r="A126" s="11"/>
      <x:c r="B126" s="11"/>
      <x:c r="C126" s="11"/>
      <x:c r="D126" s="11"/>
      <x:c r="E126" s="15"/>
      <x:c r="F126" s="15"/>
      <x:c r="G126" s="11"/>
      <x:c r="H126" s="11"/>
      <x:c r="I126" s="11"/>
      <x:c r="J126" s="11"/>
      <x:c r="K126" s="11"/>
      <x:c r="L126" s="15"/>
      <x:c r="M126" s="14"/>
      <x:c r="N126" s="11"/>
      <x:c r="O126" s="11"/>
    </x:row>
    <x:row r="127" ht="60" customHeight="1">
      <x:c r="A127" s="11"/>
      <x:c r="B127" s="11"/>
      <x:c r="C127" s="11"/>
      <x:c r="D127" s="11"/>
      <x:c r="E127" s="15"/>
      <x:c r="F127" s="15"/>
      <x:c r="G127" s="11"/>
      <x:c r="H127" s="11"/>
      <x:c r="I127" s="11"/>
      <x:c r="J127" s="11"/>
      <x:c r="K127" s="11"/>
      <x:c r="L127" s="15"/>
      <x:c r="M127" s="14"/>
      <x:c r="N127" s="11"/>
      <x:c r="O127" s="11"/>
    </x:row>
    <x:row r="128" ht="60" customHeight="1">
      <x:c r="A128" s="11"/>
      <x:c r="B128" s="11"/>
      <x:c r="C128" s="11"/>
      <x:c r="D128" s="11"/>
      <x:c r="E128" s="15"/>
      <x:c r="F128" s="15"/>
      <x:c r="G128" s="11"/>
      <x:c r="H128" s="11"/>
      <x:c r="I128" s="11"/>
      <x:c r="J128" s="11"/>
      <x:c r="K128" s="11"/>
      <x:c r="L128" s="15"/>
      <x:c r="M128" s="14"/>
      <x:c r="N128" s="11"/>
      <x:c r="O128" s="11"/>
    </x:row>
    <x:row r="129" ht="60" customHeight="1">
      <x:c r="A129" s="11"/>
      <x:c r="B129" s="11"/>
      <x:c r="C129" s="11"/>
      <x:c r="D129" s="11"/>
      <x:c r="E129" s="15"/>
      <x:c r="F129" s="15"/>
      <x:c r="G129" s="11"/>
      <x:c r="H129" s="11"/>
      <x:c r="I129" s="11"/>
      <x:c r="J129" s="11"/>
      <x:c r="K129" s="11"/>
      <x:c r="L129" s="15"/>
      <x:c r="M129" s="14"/>
      <x:c r="N129" s="11"/>
      <x:c r="O129" s="11"/>
    </x:row>
    <x:row r="130" ht="60" customHeight="1">
      <x:c r="A130" s="11"/>
      <x:c r="B130" s="11"/>
      <x:c r="C130" s="11"/>
      <x:c r="D130" s="11"/>
      <x:c r="E130" s="15"/>
      <x:c r="F130" s="15"/>
      <x:c r="G130" s="11"/>
      <x:c r="H130" s="11"/>
      <x:c r="I130" s="11"/>
      <x:c r="J130" s="11"/>
      <x:c r="K130" s="11"/>
      <x:c r="L130" s="15"/>
      <x:c r="M130" s="14"/>
      <x:c r="N130" s="11"/>
      <x:c r="O130" s="11"/>
    </x:row>
    <x:row r="131" ht="60" customHeight="1">
      <x:c r="A131" s="11"/>
      <x:c r="B131" s="11"/>
      <x:c r="C131" s="11"/>
      <x:c r="D131" s="11"/>
      <x:c r="E131" s="15"/>
      <x:c r="F131" s="15"/>
      <x:c r="G131" s="11"/>
      <x:c r="H131" s="11"/>
      <x:c r="I131" s="11"/>
      <x:c r="J131" s="11"/>
      <x:c r="K131" s="11"/>
      <x:c r="L131" s="15"/>
      <x:c r="M131" s="14"/>
      <x:c r="N131" s="11"/>
      <x:c r="O131" s="11"/>
    </x:row>
    <x:row r="132" ht="60" customHeight="1">
      <x:c r="A132" s="11"/>
      <x:c r="B132" s="11"/>
      <x:c r="C132" s="11"/>
      <x:c r="D132" s="11"/>
      <x:c r="E132" s="15"/>
      <x:c r="F132" s="15"/>
      <x:c r="G132" s="11"/>
      <x:c r="H132" s="11"/>
      <x:c r="I132" s="11"/>
      <x:c r="J132" s="11"/>
      <x:c r="K132" s="11"/>
      <x:c r="L132" s="15"/>
      <x:c r="M132" s="14"/>
      <x:c r="N132" s="11"/>
      <x:c r="O132" s="11"/>
    </x:row>
    <x:row r="133" ht="60" customHeight="1">
      <x:c r="A133" s="11"/>
      <x:c r="B133" s="11"/>
      <x:c r="C133" s="11"/>
      <x:c r="D133" s="11"/>
      <x:c r="E133" s="15"/>
      <x:c r="F133" s="15"/>
      <x:c r="G133" s="11"/>
      <x:c r="H133" s="11"/>
      <x:c r="I133" s="11"/>
      <x:c r="J133" s="11"/>
      <x:c r="K133" s="11"/>
      <x:c r="L133" s="15"/>
      <x:c r="M133" s="14"/>
      <x:c r="N133" s="11"/>
      <x:c r="O133" s="11"/>
    </x:row>
    <x:row r="134" ht="60" customHeight="1">
      <x:c r="A134" s="11"/>
      <x:c r="B134" s="11"/>
      <x:c r="C134" s="11"/>
      <x:c r="D134" s="11"/>
      <x:c r="E134" s="15"/>
      <x:c r="F134" s="15"/>
      <x:c r="G134" s="11"/>
      <x:c r="H134" s="11"/>
      <x:c r="I134" s="11"/>
      <x:c r="J134" s="11"/>
      <x:c r="K134" s="11"/>
      <x:c r="L134" s="15"/>
      <x:c r="M134" s="14"/>
      <x:c r="N134" s="11"/>
      <x:c r="O134" s="11"/>
    </x:row>
    <x:row r="135" ht="60" customHeight="1">
      <x:c r="A135" s="11"/>
      <x:c r="B135" s="11"/>
      <x:c r="C135" s="11"/>
      <x:c r="D135" s="11"/>
      <x:c r="E135" s="15"/>
      <x:c r="F135" s="15"/>
      <x:c r="G135" s="11"/>
      <x:c r="H135" s="11"/>
      <x:c r="I135" s="11"/>
      <x:c r="J135" s="11"/>
      <x:c r="K135" s="11"/>
      <x:c r="L135" s="15"/>
      <x:c r="M135" s="14"/>
      <x:c r="N135" s="11"/>
      <x:c r="O135" s="11"/>
    </x:row>
    <x:row r="136" ht="60" customHeight="1">
      <x:c r="A136" s="11"/>
      <x:c r="B136" s="11"/>
      <x:c r="C136" s="11"/>
      <x:c r="D136" s="11"/>
      <x:c r="E136" s="15"/>
      <x:c r="F136" s="15"/>
      <x:c r="G136" s="11"/>
      <x:c r="H136" s="11"/>
      <x:c r="I136" s="11"/>
      <x:c r="J136" s="11"/>
      <x:c r="K136" s="11"/>
      <x:c r="L136" s="15"/>
      <x:c r="M136" s="14"/>
      <x:c r="N136" s="11"/>
      <x:c r="O136" s="11"/>
    </x:row>
    <x:row r="137" ht="60" customHeight="1">
      <x:c r="A137" s="11"/>
      <x:c r="B137" s="11"/>
      <x:c r="C137" s="11"/>
      <x:c r="D137" s="11"/>
      <x:c r="E137" s="15"/>
      <x:c r="F137" s="15"/>
      <x:c r="G137" s="11"/>
      <x:c r="H137" s="11"/>
      <x:c r="I137" s="11"/>
      <x:c r="J137" s="11"/>
      <x:c r="K137" s="11"/>
      <x:c r="L137" s="15"/>
      <x:c r="M137" s="14"/>
      <x:c r="N137" s="11"/>
      <x:c r="O137" s="11"/>
    </x:row>
    <x:row r="138" ht="60" customHeight="1">
      <x:c r="A138" s="11"/>
      <x:c r="B138" s="11"/>
      <x:c r="C138" s="11"/>
      <x:c r="D138" s="11"/>
      <x:c r="E138" s="15"/>
      <x:c r="F138" s="15"/>
      <x:c r="G138" s="11"/>
      <x:c r="H138" s="11"/>
      <x:c r="I138" s="11"/>
      <x:c r="J138" s="11"/>
      <x:c r="K138" s="11"/>
      <x:c r="L138" s="15"/>
      <x:c r="M138" s="14"/>
      <x:c r="N138" s="11"/>
      <x:c r="O138" s="11"/>
    </x:row>
    <x:row r="139" ht="60" customHeight="1">
      <x:c r="A139" s="11"/>
      <x:c r="B139" s="11"/>
      <x:c r="C139" s="11"/>
      <x:c r="D139" s="11"/>
      <x:c r="E139" s="15"/>
      <x:c r="F139" s="15"/>
      <x:c r="G139" s="11"/>
      <x:c r="H139" s="11"/>
      <x:c r="I139" s="11"/>
      <x:c r="J139" s="11"/>
      <x:c r="K139" s="11"/>
      <x:c r="L139" s="15"/>
      <x:c r="M139" s="14"/>
      <x:c r="N139" s="11"/>
      <x:c r="O139" s="11"/>
    </x:row>
    <x:row r="140" ht="60" customHeight="1">
      <x:c r="A140" s="11"/>
      <x:c r="B140" s="11"/>
      <x:c r="C140" s="11"/>
      <x:c r="D140" s="11"/>
      <x:c r="E140" s="15"/>
      <x:c r="F140" s="15"/>
      <x:c r="G140" s="11"/>
      <x:c r="H140" s="11"/>
      <x:c r="I140" s="11"/>
      <x:c r="J140" s="11"/>
      <x:c r="K140" s="11"/>
      <x:c r="L140" s="15"/>
      <x:c r="M140" s="14"/>
      <x:c r="N140" s="11"/>
      <x:c r="O140" s="11"/>
    </x:row>
    <x:row r="141" ht="60" customHeight="1">
      <x:c r="A141" s="11"/>
      <x:c r="B141" s="11"/>
      <x:c r="C141" s="11"/>
      <x:c r="D141" s="11"/>
      <x:c r="E141" s="15"/>
      <x:c r="F141" s="15"/>
      <x:c r="G141" s="11"/>
      <x:c r="H141" s="11"/>
      <x:c r="I141" s="11"/>
      <x:c r="J141" s="11"/>
      <x:c r="K141" s="11"/>
      <x:c r="L141" s="15"/>
      <x:c r="M141" s="14"/>
      <x:c r="N141" s="11"/>
      <x:c r="O141" s="11"/>
    </x:row>
    <x:row r="142" ht="60" customHeight="1">
      <x:c r="A142" s="11"/>
      <x:c r="B142" s="11"/>
      <x:c r="C142" s="11"/>
      <x:c r="D142" s="11"/>
      <x:c r="E142" s="15"/>
      <x:c r="F142" s="15"/>
      <x:c r="G142" s="11"/>
      <x:c r="H142" s="11"/>
      <x:c r="I142" s="11"/>
      <x:c r="J142" s="11"/>
      <x:c r="K142" s="11"/>
      <x:c r="L142" s="15"/>
      <x:c r="M142" s="14"/>
      <x:c r="N142" s="11"/>
      <x:c r="O142" s="11"/>
    </x:row>
    <x:row r="143" ht="60" customHeight="1">
      <x:c r="A143" s="11"/>
      <x:c r="B143" s="11"/>
      <x:c r="C143" s="11"/>
      <x:c r="D143" s="11"/>
      <x:c r="E143" s="15"/>
      <x:c r="F143" s="15"/>
      <x:c r="G143" s="11"/>
      <x:c r="H143" s="11"/>
      <x:c r="I143" s="11"/>
      <x:c r="J143" s="11"/>
      <x:c r="K143" s="11"/>
      <x:c r="L143" s="15"/>
      <x:c r="M143" s="14"/>
      <x:c r="N143" s="11"/>
      <x:c r="O143" s="11"/>
    </x:row>
    <x:row r="144" ht="60" customHeight="1">
      <x:c r="A144" s="11"/>
      <x:c r="B144" s="11"/>
      <x:c r="C144" s="11"/>
      <x:c r="D144" s="11"/>
      <x:c r="E144" s="15"/>
      <x:c r="F144" s="15"/>
      <x:c r="G144" s="11"/>
      <x:c r="H144" s="11"/>
      <x:c r="I144" s="11"/>
      <x:c r="J144" s="11"/>
      <x:c r="K144" s="11"/>
      <x:c r="L144" s="15"/>
      <x:c r="M144" s="14"/>
      <x:c r="N144" s="11"/>
      <x:c r="O144" s="11"/>
    </x:row>
    <x:row r="145" ht="60" customHeight="1">
      <x:c r="A145" s="11"/>
      <x:c r="B145" s="11"/>
      <x:c r="C145" s="11"/>
      <x:c r="D145" s="11"/>
      <x:c r="E145" s="15"/>
      <x:c r="F145" s="15"/>
      <x:c r="G145" s="11"/>
      <x:c r="H145" s="11"/>
      <x:c r="I145" s="11"/>
      <x:c r="J145" s="11"/>
      <x:c r="K145" s="11"/>
      <x:c r="L145" s="15"/>
      <x:c r="M145" s="14"/>
      <x:c r="N145" s="11"/>
      <x:c r="O145" s="11"/>
    </x:row>
    <x:row r="146" ht="60" customHeight="1">
      <x:c r="A146" s="11"/>
      <x:c r="B146" s="11"/>
      <x:c r="C146" s="11"/>
      <x:c r="D146" s="11"/>
      <x:c r="E146" s="15"/>
      <x:c r="F146" s="15"/>
      <x:c r="G146" s="11"/>
      <x:c r="H146" s="11"/>
      <x:c r="I146" s="11"/>
      <x:c r="J146" s="11"/>
      <x:c r="K146" s="11"/>
      <x:c r="L146" s="15"/>
      <x:c r="M146" s="14"/>
      <x:c r="N146" s="11"/>
      <x:c r="O146" s="11"/>
    </x:row>
    <x:row r="147" ht="60" customHeight="1">
      <x:c r="A147" s="11"/>
      <x:c r="B147" s="11"/>
      <x:c r="C147" s="11"/>
      <x:c r="D147" s="11"/>
      <x:c r="E147" s="15"/>
      <x:c r="F147" s="15"/>
      <x:c r="G147" s="11"/>
      <x:c r="H147" s="11"/>
      <x:c r="I147" s="11"/>
      <x:c r="J147" s="11"/>
      <x:c r="K147" s="11"/>
      <x:c r="L147" s="15"/>
      <x:c r="M147" s="14"/>
      <x:c r="N147" s="11"/>
      <x:c r="O147" s="11"/>
    </x:row>
    <x:row r="148" ht="60" customHeight="1">
      <x:c r="A148" s="11"/>
      <x:c r="B148" s="11"/>
      <x:c r="C148" s="11"/>
      <x:c r="D148" s="11"/>
      <x:c r="E148" s="15"/>
      <x:c r="F148" s="15"/>
      <x:c r="G148" s="11"/>
      <x:c r="H148" s="11"/>
      <x:c r="I148" s="11"/>
      <x:c r="J148" s="11"/>
      <x:c r="K148" s="11"/>
      <x:c r="L148" s="15"/>
      <x:c r="M148" s="14"/>
      <x:c r="N148" s="11"/>
      <x:c r="O148" s="11"/>
    </x:row>
    <x:row r="149" ht="60" customHeight="1">
      <x:c r="A149" s="11"/>
      <x:c r="B149" s="11"/>
      <x:c r="C149" s="11"/>
      <x:c r="D149" s="11"/>
      <x:c r="E149" s="15"/>
      <x:c r="F149" s="15"/>
      <x:c r="G149" s="11"/>
      <x:c r="H149" s="11"/>
      <x:c r="I149" s="11"/>
      <x:c r="J149" s="11"/>
      <x:c r="K149" s="11"/>
      <x:c r="L149" s="15"/>
      <x:c r="M149" s="14"/>
      <x:c r="N149" s="11"/>
      <x:c r="O149" s="11"/>
    </x:row>
    <x:row r="150" ht="60" customHeight="1">
      <x:c r="A150" s="11"/>
      <x:c r="B150" s="11"/>
      <x:c r="C150" s="11"/>
      <x:c r="D150" s="11"/>
      <x:c r="E150" s="15"/>
      <x:c r="F150" s="15"/>
      <x:c r="G150" s="11"/>
      <x:c r="H150" s="11"/>
      <x:c r="I150" s="11"/>
      <x:c r="J150" s="11"/>
      <x:c r="K150" s="11"/>
      <x:c r="L150" s="15"/>
      <x:c r="M150" s="14"/>
      <x:c r="N150" s="11"/>
      <x:c r="O150" s="11"/>
    </x:row>
    <x:row r="151" ht="60" customHeight="1">
      <x:c r="A151" s="11"/>
      <x:c r="B151" s="11"/>
      <x:c r="C151" s="11"/>
      <x:c r="D151" s="11"/>
      <x:c r="E151" s="15"/>
      <x:c r="F151" s="15"/>
      <x:c r="G151" s="11"/>
      <x:c r="H151" s="11"/>
      <x:c r="I151" s="11"/>
      <x:c r="J151" s="11"/>
      <x:c r="K151" s="11"/>
      <x:c r="L151" s="15"/>
      <x:c r="M151" s="14"/>
      <x:c r="N151" s="11"/>
      <x:c r="O151" s="11"/>
    </x:row>
    <x:row r="152" ht="60" customHeight="1">
      <x:c r="A152" s="11"/>
      <x:c r="B152" s="11"/>
      <x:c r="C152" s="11"/>
      <x:c r="D152" s="11"/>
      <x:c r="E152" s="15"/>
      <x:c r="F152" s="15"/>
      <x:c r="G152" s="11"/>
      <x:c r="H152" s="11"/>
      <x:c r="I152" s="11"/>
      <x:c r="J152" s="11"/>
      <x:c r="K152" s="11"/>
      <x:c r="L152" s="15"/>
      <x:c r="M152" s="14"/>
      <x:c r="N152" s="11"/>
      <x:c r="O152" s="11"/>
    </x:row>
    <x:row r="153" ht="60" customHeight="1">
      <x:c r="A153" s="11"/>
      <x:c r="B153" s="11"/>
      <x:c r="C153" s="11"/>
      <x:c r="D153" s="11"/>
      <x:c r="E153" s="15"/>
      <x:c r="F153" s="15"/>
      <x:c r="G153" s="11"/>
      <x:c r="H153" s="11"/>
      <x:c r="I153" s="11"/>
      <x:c r="J153" s="11"/>
      <x:c r="K153" s="11"/>
      <x:c r="L153" s="15"/>
      <x:c r="M153" s="14"/>
      <x:c r="N153" s="11"/>
      <x:c r="O153" s="11"/>
    </x:row>
    <x:row r="154" ht="60" customHeight="1">
      <x:c r="A154" s="11"/>
      <x:c r="B154" s="11"/>
      <x:c r="C154" s="11"/>
      <x:c r="D154" s="11"/>
      <x:c r="E154" s="15"/>
      <x:c r="F154" s="15"/>
      <x:c r="G154" s="11"/>
      <x:c r="H154" s="11"/>
      <x:c r="I154" s="11"/>
      <x:c r="J154" s="11"/>
      <x:c r="K154" s="11"/>
      <x:c r="L154" s="15"/>
      <x:c r="M154" s="14"/>
      <x:c r="N154" s="11"/>
      <x:c r="O154" s="11"/>
    </x:row>
    <x:row r="155" ht="60" customHeight="1">
      <x:c r="A155" s="11"/>
      <x:c r="B155" s="11"/>
      <x:c r="C155" s="11"/>
      <x:c r="D155" s="11"/>
      <x:c r="E155" s="15"/>
      <x:c r="F155" s="15"/>
      <x:c r="G155" s="11"/>
      <x:c r="H155" s="11"/>
      <x:c r="I155" s="11"/>
      <x:c r="J155" s="11"/>
      <x:c r="K155" s="11"/>
      <x:c r="L155" s="15"/>
      <x:c r="M155" s="14"/>
      <x:c r="N155" s="11"/>
      <x:c r="O155" s="11"/>
    </x:row>
    <x:row r="156" ht="60" customHeight="1">
      <x:c r="A156" s="11"/>
      <x:c r="B156" s="11"/>
      <x:c r="C156" s="11"/>
      <x:c r="D156" s="11"/>
      <x:c r="E156" s="15"/>
      <x:c r="F156" s="15"/>
      <x:c r="G156" s="11"/>
      <x:c r="H156" s="11"/>
      <x:c r="I156" s="11"/>
      <x:c r="J156" s="11"/>
      <x:c r="K156" s="11"/>
      <x:c r="L156" s="15"/>
      <x:c r="M156" s="14"/>
      <x:c r="N156" s="11"/>
      <x:c r="O156" s="11"/>
    </x:row>
    <x:row r="157" ht="60" customHeight="1">
      <x:c r="A157" s="11"/>
      <x:c r="B157" s="11"/>
      <x:c r="C157" s="11"/>
      <x:c r="D157" s="11"/>
      <x:c r="E157" s="15"/>
      <x:c r="F157" s="15"/>
      <x:c r="G157" s="11"/>
      <x:c r="H157" s="11"/>
      <x:c r="I157" s="11"/>
      <x:c r="J157" s="11"/>
      <x:c r="K157" s="11"/>
      <x:c r="L157" s="15"/>
      <x:c r="M157" s="14"/>
      <x:c r="N157" s="11"/>
      <x:c r="O157" s="11"/>
    </x:row>
    <x:row r="158" ht="60" customHeight="1">
      <x:c r="A158" s="11"/>
      <x:c r="B158" s="11"/>
      <x:c r="C158" s="11"/>
      <x:c r="D158" s="11"/>
      <x:c r="E158" s="15"/>
      <x:c r="F158" s="15"/>
      <x:c r="G158" s="11"/>
      <x:c r="H158" s="11"/>
      <x:c r="I158" s="11"/>
      <x:c r="J158" s="11"/>
      <x:c r="K158" s="11"/>
      <x:c r="L158" s="15"/>
      <x:c r="M158" s="14"/>
      <x:c r="N158" s="11"/>
      <x:c r="O158" s="11"/>
    </x:row>
    <x:row r="159" ht="60" customHeight="1">
      <x:c r="A159" s="11"/>
      <x:c r="B159" s="11"/>
      <x:c r="C159" s="11"/>
      <x:c r="D159" s="11"/>
      <x:c r="E159" s="15"/>
      <x:c r="F159" s="15"/>
      <x:c r="G159" s="11"/>
      <x:c r="H159" s="11"/>
      <x:c r="I159" s="11"/>
      <x:c r="J159" s="11"/>
      <x:c r="K159" s="11"/>
      <x:c r="L159" s="15"/>
      <x:c r="M159" s="14"/>
      <x:c r="N159" s="11"/>
      <x:c r="O159" s="11"/>
    </x:row>
    <x:row r="160" ht="60" customHeight="1">
      <x:c r="A160" s="11"/>
      <x:c r="B160" s="11"/>
      <x:c r="C160" s="11"/>
      <x:c r="D160" s="11"/>
      <x:c r="E160" s="15"/>
      <x:c r="F160" s="15"/>
      <x:c r="G160" s="11"/>
      <x:c r="H160" s="11"/>
      <x:c r="I160" s="11"/>
      <x:c r="J160" s="11"/>
      <x:c r="K160" s="11"/>
      <x:c r="L160" s="15"/>
      <x:c r="M160" s="14"/>
      <x:c r="N160" s="11"/>
      <x:c r="O160" s="11"/>
    </x:row>
    <x:row r="161" ht="60" customHeight="1">
      <x:c r="A161" s="11"/>
      <x:c r="B161" s="11"/>
      <x:c r="C161" s="11"/>
      <x:c r="D161" s="11"/>
      <x:c r="E161" s="15"/>
      <x:c r="F161" s="15"/>
      <x:c r="G161" s="11"/>
      <x:c r="H161" s="11"/>
      <x:c r="I161" s="11"/>
      <x:c r="J161" s="11"/>
      <x:c r="K161" s="11"/>
      <x:c r="L161" s="15"/>
      <x:c r="M161" s="14"/>
      <x:c r="N161" s="11"/>
      <x:c r="O161" s="11"/>
    </x:row>
    <x:row r="162" ht="60" customHeight="1">
      <x:c r="A162" s="11"/>
      <x:c r="B162" s="11"/>
      <x:c r="C162" s="11"/>
      <x:c r="D162" s="11"/>
      <x:c r="E162" s="15"/>
      <x:c r="F162" s="15"/>
      <x:c r="G162" s="11"/>
      <x:c r="H162" s="11"/>
      <x:c r="I162" s="11"/>
      <x:c r="J162" s="11"/>
      <x:c r="K162" s="11"/>
      <x:c r="L162" s="15"/>
      <x:c r="M162" s="14"/>
      <x:c r="N162" s="11"/>
      <x:c r="O162" s="11"/>
    </x:row>
    <x:row r="163" ht="60" customHeight="1">
      <x:c r="A163" s="11"/>
      <x:c r="B163" s="11"/>
      <x:c r="C163" s="11"/>
      <x:c r="D163" s="11"/>
      <x:c r="E163" s="15"/>
      <x:c r="F163" s="15"/>
      <x:c r="G163" s="11"/>
      <x:c r="H163" s="11"/>
      <x:c r="I163" s="11"/>
      <x:c r="J163" s="11"/>
      <x:c r="K163" s="11"/>
      <x:c r="L163" s="15"/>
      <x:c r="M163" s="14"/>
      <x:c r="N163" s="11"/>
      <x:c r="O163" s="11"/>
    </x:row>
    <x:row r="164" ht="60" customHeight="1">
      <x:c r="A164" s="11"/>
      <x:c r="B164" s="11"/>
      <x:c r="C164" s="11"/>
      <x:c r="D164" s="11"/>
      <x:c r="E164" s="15"/>
      <x:c r="F164" s="15"/>
      <x:c r="G164" s="11"/>
      <x:c r="H164" s="11"/>
      <x:c r="I164" s="11"/>
      <x:c r="J164" s="11"/>
      <x:c r="K164" s="11"/>
      <x:c r="L164" s="15"/>
      <x:c r="M164" s="14"/>
      <x:c r="N164" s="11"/>
      <x:c r="O164" s="11"/>
    </x:row>
    <x:row r="165" ht="60" customHeight="1">
      <x:c r="A165" s="11"/>
      <x:c r="B165" s="11"/>
      <x:c r="C165" s="11"/>
      <x:c r="D165" s="11"/>
      <x:c r="E165" s="15"/>
      <x:c r="F165" s="15"/>
      <x:c r="G165" s="11"/>
      <x:c r="H165" s="11"/>
      <x:c r="I165" s="11"/>
      <x:c r="J165" s="11"/>
      <x:c r="K165" s="11"/>
      <x:c r="L165" s="15"/>
      <x:c r="M165" s="14"/>
      <x:c r="N165" s="11"/>
      <x:c r="O165" s="11"/>
    </x:row>
    <x:row r="166" ht="60" customHeight="1">
      <x:c r="A166" s="11"/>
      <x:c r="B166" s="11"/>
      <x:c r="C166" s="11"/>
      <x:c r="D166" s="11"/>
      <x:c r="E166" s="15"/>
      <x:c r="F166" s="15"/>
      <x:c r="G166" s="11"/>
      <x:c r="H166" s="11"/>
      <x:c r="I166" s="11"/>
      <x:c r="J166" s="11"/>
      <x:c r="K166" s="11"/>
      <x:c r="L166" s="15"/>
      <x:c r="M166" s="14"/>
      <x:c r="N166" s="11"/>
      <x:c r="O166" s="11"/>
    </x:row>
    <x:row r="167" ht="60" customHeight="1">
      <x:c r="A167" s="11"/>
      <x:c r="B167" s="11"/>
      <x:c r="C167" s="11"/>
      <x:c r="D167" s="11"/>
      <x:c r="E167" s="15"/>
      <x:c r="F167" s="15"/>
      <x:c r="G167" s="11"/>
      <x:c r="H167" s="11"/>
      <x:c r="I167" s="11"/>
      <x:c r="J167" s="11"/>
      <x:c r="K167" s="11"/>
      <x:c r="L167" s="15"/>
      <x:c r="M167" s="14"/>
      <x:c r="N167" s="11"/>
      <x:c r="O167" s="11"/>
    </x:row>
    <x:row r="168" ht="60" customHeight="1">
      <x:c r="A168" s="11"/>
      <x:c r="B168" s="11"/>
      <x:c r="C168" s="11"/>
      <x:c r="D168" s="11"/>
      <x:c r="E168" s="15"/>
      <x:c r="F168" s="15"/>
      <x:c r="G168" s="11"/>
      <x:c r="H168" s="11"/>
      <x:c r="I168" s="11"/>
      <x:c r="J168" s="11"/>
      <x:c r="K168" s="11"/>
      <x:c r="L168" s="15"/>
      <x:c r="M168" s="14"/>
      <x:c r="N168" s="11"/>
      <x:c r="O168" s="11"/>
    </x:row>
    <x:row r="169" ht="60" customHeight="1">
      <x:c r="A169" s="11"/>
      <x:c r="B169" s="11"/>
      <x:c r="C169" s="11"/>
      <x:c r="D169" s="11"/>
      <x:c r="E169" s="15"/>
      <x:c r="F169" s="15"/>
      <x:c r="G169" s="11"/>
      <x:c r="H169" s="11"/>
      <x:c r="I169" s="11"/>
      <x:c r="J169" s="11"/>
      <x:c r="K169" s="11"/>
      <x:c r="L169" s="15"/>
      <x:c r="M169" s="14"/>
      <x:c r="N169" s="11"/>
      <x:c r="O169" s="11"/>
    </x:row>
    <x:row r="170" ht="60" customHeight="1">
      <x:c r="A170" s="11"/>
      <x:c r="B170" s="11"/>
      <x:c r="C170" s="11"/>
      <x:c r="D170" s="11"/>
      <x:c r="E170" s="15"/>
      <x:c r="F170" s="15"/>
      <x:c r="G170" s="11"/>
      <x:c r="H170" s="11"/>
      <x:c r="I170" s="11"/>
      <x:c r="J170" s="11"/>
      <x:c r="K170" s="11"/>
      <x:c r="L170" s="15"/>
      <x:c r="M170" s="14"/>
      <x:c r="N170" s="11"/>
      <x:c r="O170" s="11"/>
    </x:row>
    <x:row r="171" ht="60" customHeight="1">
      <x:c r="A171" s="11"/>
      <x:c r="B171" s="11"/>
      <x:c r="C171" s="11"/>
      <x:c r="D171" s="11"/>
      <x:c r="E171" s="15"/>
      <x:c r="F171" s="15"/>
      <x:c r="G171" s="11"/>
      <x:c r="H171" s="11"/>
      <x:c r="I171" s="11"/>
      <x:c r="J171" s="11"/>
      <x:c r="K171" s="11"/>
      <x:c r="L171" s="15"/>
      <x:c r="M171" s="14"/>
      <x:c r="N171" s="11"/>
      <x:c r="O171" s="11"/>
    </x:row>
    <x:row r="172" ht="60" customHeight="1">
      <x:c r="A172" s="11"/>
      <x:c r="B172" s="11"/>
      <x:c r="C172" s="11"/>
      <x:c r="D172" s="11"/>
      <x:c r="E172" s="15"/>
      <x:c r="F172" s="15"/>
      <x:c r="G172" s="11"/>
      <x:c r="H172" s="11"/>
      <x:c r="I172" s="11"/>
      <x:c r="J172" s="11"/>
      <x:c r="K172" s="11"/>
      <x:c r="L172" s="15"/>
      <x:c r="M172" s="14"/>
      <x:c r="N172" s="11"/>
      <x:c r="O172" s="11"/>
    </x:row>
    <x:row r="173" ht="60" customHeight="1">
      <x:c r="A173" s="11"/>
      <x:c r="B173" s="11"/>
      <x:c r="C173" s="11"/>
      <x:c r="D173" s="11"/>
      <x:c r="E173" s="15"/>
      <x:c r="F173" s="15"/>
      <x:c r="G173" s="11"/>
      <x:c r="H173" s="11"/>
      <x:c r="I173" s="11"/>
      <x:c r="J173" s="11"/>
      <x:c r="K173" s="11"/>
      <x:c r="L173" s="15"/>
      <x:c r="M173" s="14"/>
      <x:c r="N173" s="11"/>
      <x:c r="O173" s="11"/>
    </x:row>
    <x:row r="174" ht="60" customHeight="1">
      <x:c r="A174" s="11"/>
      <x:c r="B174" s="11"/>
      <x:c r="C174" s="11"/>
      <x:c r="D174" s="11"/>
      <x:c r="E174" s="15"/>
      <x:c r="F174" s="15"/>
      <x:c r="G174" s="11"/>
      <x:c r="H174" s="11"/>
      <x:c r="I174" s="11"/>
      <x:c r="J174" s="11"/>
      <x:c r="K174" s="11"/>
      <x:c r="L174" s="15"/>
      <x:c r="M174" s="14"/>
      <x:c r="N174" s="11"/>
      <x:c r="O174" s="11"/>
    </x:row>
    <x:row r="175" ht="60" customHeight="1">
      <x:c r="A175" s="11"/>
      <x:c r="B175" s="11"/>
      <x:c r="C175" s="11"/>
      <x:c r="D175" s="11"/>
      <x:c r="E175" s="15"/>
      <x:c r="F175" s="15"/>
      <x:c r="G175" s="11"/>
      <x:c r="H175" s="11"/>
      <x:c r="I175" s="11"/>
      <x:c r="J175" s="11"/>
      <x:c r="K175" s="11"/>
      <x:c r="L175" s="15"/>
      <x:c r="M175" s="14"/>
      <x:c r="N175" s="11"/>
      <x:c r="O175" s="11"/>
    </x:row>
    <x:row r="176" ht="60" customHeight="1">
      <x:c r="A176" s="11"/>
      <x:c r="B176" s="11"/>
      <x:c r="C176" s="11"/>
      <x:c r="D176" s="11"/>
      <x:c r="E176" s="15"/>
      <x:c r="F176" s="15"/>
      <x:c r="G176" s="11"/>
      <x:c r="H176" s="11"/>
      <x:c r="I176" s="11"/>
      <x:c r="J176" s="11"/>
      <x:c r="K176" s="11"/>
      <x:c r="L176" s="15"/>
      <x:c r="M176" s="14"/>
      <x:c r="N176" s="11"/>
      <x:c r="O176" s="11"/>
    </x:row>
    <x:row r="177" ht="60" customHeight="1">
      <x:c r="A177" s="11"/>
      <x:c r="B177" s="11"/>
      <x:c r="C177" s="11"/>
      <x:c r="D177" s="11"/>
      <x:c r="E177" s="15"/>
      <x:c r="F177" s="15"/>
      <x:c r="G177" s="11"/>
      <x:c r="H177" s="11"/>
      <x:c r="I177" s="11"/>
      <x:c r="J177" s="11"/>
      <x:c r="K177" s="11"/>
      <x:c r="L177" s="15"/>
      <x:c r="M177" s="14"/>
      <x:c r="N177" s="11"/>
      <x:c r="O177" s="11"/>
    </x:row>
    <x:row r="178" ht="60" customHeight="1">
      <x:c r="A178" s="11"/>
      <x:c r="B178" s="11"/>
      <x:c r="C178" s="11"/>
      <x:c r="D178" s="11"/>
      <x:c r="E178" s="15"/>
      <x:c r="F178" s="15"/>
      <x:c r="G178" s="11"/>
      <x:c r="H178" s="11"/>
      <x:c r="I178" s="11"/>
      <x:c r="J178" s="11"/>
      <x:c r="K178" s="11"/>
      <x:c r="L178" s="15"/>
      <x:c r="M178" s="14"/>
      <x:c r="N178" s="11"/>
      <x:c r="O178" s="11"/>
    </x:row>
    <x:row r="179" ht="60" customHeight="1">
      <x:c r="A179" s="11"/>
      <x:c r="B179" s="11"/>
      <x:c r="C179" s="11"/>
      <x:c r="D179" s="11"/>
      <x:c r="E179" s="15"/>
      <x:c r="F179" s="15"/>
      <x:c r="G179" s="11"/>
      <x:c r="H179" s="11"/>
      <x:c r="I179" s="11"/>
      <x:c r="J179" s="11"/>
      <x:c r="K179" s="11"/>
      <x:c r="L179" s="15"/>
      <x:c r="M179" s="14"/>
      <x:c r="N179" s="11"/>
      <x:c r="O179" s="11"/>
    </x:row>
    <x:row r="180" ht="60" customHeight="1">
      <x:c r="A180" s="11"/>
      <x:c r="B180" s="11"/>
      <x:c r="C180" s="11"/>
      <x:c r="D180" s="11"/>
      <x:c r="E180" s="15"/>
      <x:c r="F180" s="15"/>
      <x:c r="G180" s="11"/>
      <x:c r="H180" s="11"/>
      <x:c r="I180" s="11"/>
      <x:c r="J180" s="11"/>
      <x:c r="K180" s="11"/>
      <x:c r="L180" s="15"/>
      <x:c r="M180" s="14"/>
      <x:c r="N180" s="11"/>
      <x:c r="O180" s="11"/>
    </x:row>
    <x:row r="181" ht="60" customHeight="1">
      <x:c r="A181" s="11"/>
      <x:c r="B181" s="11"/>
      <x:c r="C181" s="11"/>
      <x:c r="D181" s="11"/>
      <x:c r="E181" s="15"/>
      <x:c r="F181" s="15"/>
      <x:c r="G181" s="11"/>
      <x:c r="H181" s="11"/>
      <x:c r="I181" s="11"/>
      <x:c r="J181" s="11"/>
      <x:c r="K181" s="11"/>
      <x:c r="L181" s="15"/>
      <x:c r="M181" s="14"/>
      <x:c r="N181" s="11"/>
      <x:c r="O181" s="11"/>
    </x:row>
    <x:row r="182" ht="60" customHeight="1">
      <x:c r="A182" s="11"/>
      <x:c r="B182" s="11"/>
      <x:c r="C182" s="11"/>
      <x:c r="D182" s="11"/>
      <x:c r="E182" s="15"/>
      <x:c r="F182" s="15"/>
      <x:c r="G182" s="11"/>
      <x:c r="H182" s="11"/>
      <x:c r="I182" s="11"/>
      <x:c r="J182" s="11"/>
      <x:c r="K182" s="11"/>
      <x:c r="L182" s="15"/>
      <x:c r="M182" s="14"/>
      <x:c r="N182" s="11"/>
      <x:c r="O182" s="11"/>
    </x:row>
    <x:row r="183" ht="60" customHeight="1">
      <x:c r="A183" s="11"/>
      <x:c r="B183" s="11"/>
      <x:c r="C183" s="11"/>
      <x:c r="D183" s="11"/>
      <x:c r="E183" s="15"/>
      <x:c r="F183" s="15"/>
      <x:c r="G183" s="11"/>
      <x:c r="H183" s="11"/>
      <x:c r="I183" s="11"/>
      <x:c r="J183" s="11"/>
      <x:c r="K183" s="11"/>
      <x:c r="L183" s="15"/>
      <x:c r="M183" s="14"/>
      <x:c r="N183" s="11"/>
      <x:c r="O183" s="11"/>
    </x:row>
    <x:row r="184" ht="60" customHeight="1">
      <x:c r="A184" s="11"/>
      <x:c r="B184" s="11"/>
      <x:c r="C184" s="11"/>
      <x:c r="D184" s="11"/>
      <x:c r="E184" s="15"/>
      <x:c r="F184" s="15"/>
      <x:c r="G184" s="11"/>
      <x:c r="H184" s="11"/>
      <x:c r="I184" s="11"/>
      <x:c r="J184" s="11"/>
      <x:c r="K184" s="11"/>
      <x:c r="L184" s="15"/>
      <x:c r="M184" s="14"/>
      <x:c r="N184" s="11"/>
      <x:c r="O184" s="11"/>
    </x:row>
    <x:row r="185" ht="60" customHeight="1">
      <x:c r="A185" s="11"/>
      <x:c r="B185" s="11"/>
      <x:c r="C185" s="11"/>
      <x:c r="D185" s="11"/>
      <x:c r="E185" s="15"/>
      <x:c r="F185" s="15"/>
      <x:c r="G185" s="11"/>
      <x:c r="H185" s="11"/>
      <x:c r="I185" s="11"/>
      <x:c r="J185" s="11"/>
      <x:c r="K185" s="11"/>
      <x:c r="L185" s="15"/>
      <x:c r="M185" s="14"/>
      <x:c r="N185" s="11"/>
      <x:c r="O185" s="11"/>
    </x:row>
    <x:row r="186" ht="60" customHeight="1">
      <x:c r="A186" s="11"/>
      <x:c r="B186" s="11"/>
      <x:c r="C186" s="11"/>
      <x:c r="D186" s="11"/>
      <x:c r="E186" s="15"/>
      <x:c r="F186" s="15"/>
      <x:c r="G186" s="11"/>
      <x:c r="H186" s="11"/>
      <x:c r="I186" s="11"/>
      <x:c r="J186" s="11"/>
      <x:c r="K186" s="11"/>
      <x:c r="L186" s="15"/>
      <x:c r="M186" s="14"/>
      <x:c r="N186" s="11"/>
      <x:c r="O186" s="11"/>
    </x:row>
    <x:row r="187" ht="60" customHeight="1">
      <x:c r="A187" s="11"/>
      <x:c r="B187" s="11"/>
      <x:c r="C187" s="11"/>
      <x:c r="D187" s="11"/>
      <x:c r="E187" s="15"/>
      <x:c r="F187" s="15"/>
      <x:c r="G187" s="11"/>
      <x:c r="H187" s="11"/>
      <x:c r="I187" s="11"/>
      <x:c r="J187" s="11"/>
      <x:c r="K187" s="11"/>
      <x:c r="L187" s="15"/>
      <x:c r="M187" s="14"/>
      <x:c r="N187" s="11"/>
      <x:c r="O187" s="11"/>
    </x:row>
    <x:row r="188" ht="60" customHeight="1">
      <x:c r="A188" s="11"/>
      <x:c r="B188" s="11"/>
      <x:c r="C188" s="11"/>
      <x:c r="D188" s="11"/>
      <x:c r="E188" s="15"/>
      <x:c r="F188" s="15"/>
      <x:c r="G188" s="11"/>
      <x:c r="H188" s="11"/>
      <x:c r="I188" s="11"/>
      <x:c r="J188" s="11"/>
      <x:c r="K188" s="11"/>
      <x:c r="L188" s="15"/>
      <x:c r="M188" s="14"/>
      <x:c r="N188" s="11"/>
      <x:c r="O188" s="11"/>
    </x:row>
    <x:row r="189" ht="60" customHeight="1">
      <x:c r="A189" s="11"/>
      <x:c r="B189" s="11"/>
      <x:c r="C189" s="11"/>
      <x:c r="D189" s="11"/>
      <x:c r="E189" s="15"/>
      <x:c r="F189" s="15"/>
      <x:c r="G189" s="11"/>
      <x:c r="H189" s="11"/>
      <x:c r="I189" s="11"/>
      <x:c r="J189" s="11"/>
      <x:c r="K189" s="11"/>
      <x:c r="L189" s="15"/>
      <x:c r="M189" s="14"/>
      <x:c r="N189" s="11"/>
      <x:c r="O189" s="11"/>
    </x:row>
    <x:row r="190" ht="60" customHeight="1">
      <x:c r="A190" s="11"/>
      <x:c r="B190" s="11"/>
      <x:c r="C190" s="11"/>
      <x:c r="D190" s="11"/>
      <x:c r="E190" s="15"/>
      <x:c r="F190" s="15"/>
      <x:c r="G190" s="11"/>
      <x:c r="H190" s="11"/>
      <x:c r="I190" s="11"/>
      <x:c r="J190" s="11"/>
      <x:c r="K190" s="11"/>
      <x:c r="L190" s="15"/>
      <x:c r="M190" s="14"/>
      <x:c r="N190" s="11"/>
      <x:c r="O190" s="11"/>
    </x:row>
    <x:row r="191" ht="60" customHeight="1">
      <x:c r="A191" s="11"/>
      <x:c r="B191" s="11"/>
      <x:c r="C191" s="11"/>
      <x:c r="D191" s="11"/>
      <x:c r="E191" s="15"/>
      <x:c r="F191" s="15"/>
      <x:c r="G191" s="11"/>
      <x:c r="H191" s="11"/>
      <x:c r="I191" s="11"/>
      <x:c r="J191" s="11"/>
      <x:c r="K191" s="11"/>
      <x:c r="L191" s="15"/>
      <x:c r="M191" s="14"/>
      <x:c r="N191" s="11"/>
      <x:c r="O191" s="11"/>
    </x:row>
    <x:row r="192" ht="60" customHeight="1">
      <x:c r="A192" s="11"/>
      <x:c r="B192" s="11"/>
      <x:c r="C192" s="11"/>
      <x:c r="D192" s="11"/>
      <x:c r="E192" s="15"/>
      <x:c r="F192" s="15"/>
      <x:c r="G192" s="11"/>
      <x:c r="H192" s="11"/>
      <x:c r="I192" s="11"/>
      <x:c r="J192" s="11"/>
      <x:c r="K192" s="11"/>
      <x:c r="L192" s="15"/>
      <x:c r="M192" s="14"/>
      <x:c r="N192" s="11"/>
      <x:c r="O192" s="11"/>
    </x:row>
    <x:row r="193" ht="60" customHeight="1">
      <x:c r="A193" s="11"/>
      <x:c r="B193" s="11"/>
      <x:c r="C193" s="11"/>
      <x:c r="D193" s="11"/>
      <x:c r="E193" s="15"/>
      <x:c r="F193" s="15"/>
      <x:c r="G193" s="11"/>
      <x:c r="H193" s="11"/>
      <x:c r="I193" s="11"/>
      <x:c r="J193" s="11"/>
      <x:c r="K193" s="11"/>
      <x:c r="L193" s="15"/>
      <x:c r="M193" s="14"/>
      <x:c r="N193" s="11"/>
      <x:c r="O193" s="11"/>
    </x:row>
    <x:row r="194" ht="60" customHeight="1">
      <x:c r="A194" s="11"/>
      <x:c r="B194" s="11"/>
      <x:c r="C194" s="11"/>
      <x:c r="D194" s="11"/>
      <x:c r="E194" s="15"/>
      <x:c r="F194" s="15"/>
      <x:c r="G194" s="11"/>
      <x:c r="H194" s="11"/>
      <x:c r="I194" s="11"/>
      <x:c r="J194" s="11"/>
      <x:c r="K194" s="11"/>
      <x:c r="L194" s="15"/>
      <x:c r="M194" s="14"/>
      <x:c r="N194" s="11"/>
      <x:c r="O194" s="11"/>
    </x:row>
    <x:row r="195" ht="60" customHeight="1">
      <x:c r="A195" s="11"/>
      <x:c r="B195" s="11"/>
      <x:c r="C195" s="11"/>
      <x:c r="D195" s="11"/>
      <x:c r="E195" s="15"/>
      <x:c r="F195" s="15"/>
      <x:c r="G195" s="11"/>
      <x:c r="H195" s="11"/>
      <x:c r="I195" s="11"/>
      <x:c r="J195" s="11"/>
      <x:c r="K195" s="11"/>
      <x:c r="L195" s="15"/>
      <x:c r="M195" s="14"/>
      <x:c r="N195" s="11"/>
      <x:c r="O195" s="11"/>
    </x:row>
    <x:row r="196" ht="60" customHeight="1">
      <x:c r="A196" s="11"/>
      <x:c r="B196" s="11"/>
      <x:c r="C196" s="11"/>
      <x:c r="D196" s="11"/>
      <x:c r="E196" s="15"/>
      <x:c r="F196" s="15"/>
      <x:c r="G196" s="11"/>
      <x:c r="H196" s="11"/>
      <x:c r="I196" s="11"/>
      <x:c r="J196" s="11"/>
      <x:c r="K196" s="11"/>
      <x:c r="L196" s="15"/>
      <x:c r="M196" s="14"/>
      <x:c r="N196" s="11"/>
      <x:c r="O196" s="11"/>
    </x:row>
    <x:row r="197" ht="60" customHeight="1">
      <x:c r="A197" s="11"/>
      <x:c r="B197" s="11"/>
      <x:c r="C197" s="11"/>
      <x:c r="D197" s="11"/>
      <x:c r="E197" s="15"/>
      <x:c r="F197" s="15"/>
      <x:c r="G197" s="11"/>
      <x:c r="H197" s="11"/>
      <x:c r="I197" s="11"/>
      <x:c r="J197" s="11"/>
      <x:c r="K197" s="11"/>
      <x:c r="L197" s="15"/>
      <x:c r="M197" s="14"/>
      <x:c r="N197" s="11"/>
      <x:c r="O197" s="11"/>
    </x:row>
    <x:row r="198" ht="60" customHeight="1">
      <x:c r="A198" s="11"/>
      <x:c r="B198" s="11"/>
      <x:c r="C198" s="11"/>
      <x:c r="D198" s="11"/>
      <x:c r="E198" s="15"/>
      <x:c r="F198" s="15"/>
      <x:c r="G198" s="11"/>
      <x:c r="H198" s="11"/>
      <x:c r="I198" s="11"/>
      <x:c r="J198" s="11"/>
      <x:c r="K198" s="11"/>
      <x:c r="L198" s="15"/>
      <x:c r="M198" s="14"/>
      <x:c r="N198" s="11"/>
      <x:c r="O198" s="11"/>
    </x:row>
    <x:row r="199" ht="60" customHeight="1">
      <x:c r="A199" s="11"/>
      <x:c r="B199" s="11"/>
      <x:c r="C199" s="11"/>
      <x:c r="D199" s="11"/>
      <x:c r="E199" s="15"/>
      <x:c r="F199" s="15"/>
      <x:c r="G199" s="11"/>
      <x:c r="H199" s="11"/>
      <x:c r="I199" s="11"/>
      <x:c r="J199" s="11"/>
      <x:c r="K199" s="11"/>
      <x:c r="L199" s="15"/>
      <x:c r="M199" s="14"/>
      <x:c r="N199" s="11"/>
      <x:c r="O199" s="11"/>
    </x:row>
    <x:row r="200" ht="60" customHeight="1">
      <x:c r="A200" s="11"/>
      <x:c r="B200" s="11"/>
      <x:c r="C200" s="11"/>
      <x:c r="D200" s="11"/>
      <x:c r="E200" s="15"/>
      <x:c r="F200" s="15"/>
      <x:c r="G200" s="11"/>
      <x:c r="H200" s="11"/>
      <x:c r="I200" s="11"/>
      <x:c r="J200" s="11"/>
      <x:c r="K200" s="11"/>
      <x:c r="L200" s="15"/>
      <x:c r="M200" s="14"/>
      <x:c r="N200" s="11"/>
      <x:c r="O200" s="11"/>
    </x:row>
    <x:row r="201" ht="60" customHeight="1">
      <x:c r="A201" s="11"/>
      <x:c r="B201" s="11"/>
      <x:c r="C201" s="11"/>
      <x:c r="D201" s="11"/>
      <x:c r="E201" s="15"/>
      <x:c r="F201" s="15"/>
      <x:c r="G201" s="11"/>
      <x:c r="H201" s="11"/>
      <x:c r="I201" s="11"/>
      <x:c r="J201" s="11"/>
      <x:c r="K201" s="11"/>
      <x:c r="L201" s="15"/>
      <x:c r="M201" s="14"/>
      <x:c r="N201" s="11"/>
      <x:c r="O201" s="11"/>
    </x:row>
    <x:row r="202" ht="60" customHeight="1">
      <x:c r="A202" s="11"/>
      <x:c r="B202" s="11"/>
      <x:c r="C202" s="11"/>
      <x:c r="D202" s="11"/>
      <x:c r="E202" s="15"/>
      <x:c r="F202" s="15"/>
      <x:c r="G202" s="11"/>
      <x:c r="H202" s="11"/>
      <x:c r="I202" s="11"/>
      <x:c r="J202" s="11"/>
      <x:c r="K202" s="11"/>
      <x:c r="L202" s="15"/>
      <x:c r="M202" s="14"/>
      <x:c r="N202" s="11"/>
      <x:c r="O202" s="11"/>
    </x:row>
    <x:row r="203" ht="60" customHeight="1">
      <x:c r="A203" s="11"/>
      <x:c r="B203" s="11"/>
      <x:c r="C203" s="11"/>
      <x:c r="D203" s="11"/>
      <x:c r="E203" s="15"/>
      <x:c r="F203" s="15"/>
      <x:c r="G203" s="11"/>
      <x:c r="H203" s="11"/>
      <x:c r="I203" s="11"/>
      <x:c r="J203" s="11"/>
      <x:c r="K203" s="11"/>
      <x:c r="L203" s="15"/>
      <x:c r="M203" s="14"/>
      <x:c r="N203" s="11"/>
      <x:c r="O203" s="11"/>
    </x:row>
    <x:row r="204" ht="60" customHeight="1">
      <x:c r="A204" s="11"/>
      <x:c r="B204" s="11"/>
      <x:c r="C204" s="11"/>
      <x:c r="D204" s="11"/>
      <x:c r="E204" s="15"/>
      <x:c r="F204" s="15"/>
      <x:c r="G204" s="11"/>
      <x:c r="H204" s="11"/>
      <x:c r="I204" s="11"/>
      <x:c r="J204" s="11"/>
      <x:c r="K204" s="11"/>
      <x:c r="L204" s="15"/>
      <x:c r="M204" s="14"/>
      <x:c r="N204" s="11"/>
      <x:c r="O204" s="11"/>
    </x:row>
    <x:row r="205" ht="60" customHeight="1">
      <x:c r="A205" s="11"/>
      <x:c r="B205" s="11"/>
      <x:c r="C205" s="11"/>
      <x:c r="D205" s="11"/>
      <x:c r="E205" s="15"/>
      <x:c r="F205" s="15"/>
      <x:c r="G205" s="11"/>
      <x:c r="H205" s="11"/>
      <x:c r="I205" s="11"/>
      <x:c r="J205" s="11"/>
      <x:c r="K205" s="11"/>
      <x:c r="L205" s="15"/>
      <x:c r="M205" s="14"/>
      <x:c r="N205" s="11"/>
      <x:c r="O205" s="11"/>
    </x:row>
    <x:row r="206" ht="60" customHeight="1">
      <x:c r="A206" s="11"/>
      <x:c r="B206" s="11"/>
      <x:c r="C206" s="11"/>
      <x:c r="D206" s="11"/>
      <x:c r="E206" s="15"/>
      <x:c r="F206" s="15"/>
      <x:c r="G206" s="11"/>
      <x:c r="H206" s="11"/>
      <x:c r="I206" s="11"/>
      <x:c r="J206" s="11"/>
      <x:c r="K206" s="11"/>
      <x:c r="L206" s="15"/>
      <x:c r="M206" s="14"/>
      <x:c r="N206" s="11"/>
      <x:c r="O206" s="11"/>
    </x:row>
  </x:sheetData>
  <x:conditionalFormatting sqref="H7:H206">
    <x:cfRule type="containsText" dxfId="2" priority="1" operator="containsText" text="Conflict"/>
  </x:conditionalFormatting>
  <x:dataValidations count="1">
    <x:dataValidation type="list" sqref="H7:H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dfcc260da1499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6" customHeight="1">
      <x:c r="A2" s="2" t="str">
        <x:v>Submittal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2" customHeight="1">
      <x:c r="A6" s="8" t="str">
        <x:v>Submittal ID</x:v>
      </x:c>
      <x:c r="B6" s="8" t="str">
        <x:v>Project ID</x:v>
      </x:c>
      <x:c r="C6" s="8" t="str">
        <x:v>WBS ID</x:v>
      </x:c>
      <x:c r="D6" s="8" t="str">
        <x:v>Document Title</x:v>
      </x:c>
      <x:c r="E6" s="8" t="str">
        <x:v>Document Revision</x:v>
      </x:c>
      <x:c r="F6" s="8" t="str">
        <x:v>Submitted Date</x:v>
      </x:c>
      <x:c r="G6" s="8" t="str">
        <x:v>Due Date</x:v>
      </x:c>
      <x:c r="H6" s="8" t="str">
        <x:v>Owner</x:v>
      </x:c>
      <x:c r="I6" s="8" t="str">
        <x:v>Status</x:v>
      </x:c>
      <x:c r="J6" s="8" t="str">
        <x:v>Response Reference</x:v>
      </x:c>
      <x:c r="K6" s="8" t="str">
        <x:v>Evidence Reference</x:v>
      </x:c>
      <x:c r="L6" s="8" t="str">
        <x:v>Reviewer</x:v>
      </x:c>
      <x:c r="M6" s="8" t="str">
        <x:v>Review Date</x:v>
      </x:c>
      <x:c r="N6" s="8" t="str">
        <x:v>Revision</x:v>
      </x:c>
      <x:c r="O6" s="8" t="str">
        <x:v>Source Reference</x:v>
      </x:c>
    </x:row>
    <x:row r="7" ht="60" customHeight="1">
      <x:c r="A7" s="11"/>
      <x:c r="B7" s="11"/>
      <x:c r="C7" s="11"/>
      <x:c r="D7" s="11"/>
      <x:c r="E7" s="14"/>
      <x:c r="F7" s="15"/>
      <x:c r="G7" s="15"/>
      <x:c r="H7" s="11"/>
      <x:c r="I7" s="11"/>
      <x:c r="J7" s="11"/>
      <x:c r="K7" s="11"/>
      <x:c r="L7" s="11"/>
      <x:c r="M7" s="15"/>
      <x:c r="N7" s="14"/>
      <x:c r="O7" s="11"/>
    </x:row>
    <x:row r="8" ht="60" customHeight="1">
      <x:c r="A8" s="11"/>
      <x:c r="B8" s="11"/>
      <x:c r="C8" s="11"/>
      <x:c r="D8" s="11"/>
      <x:c r="E8" s="14"/>
      <x:c r="F8" s="15"/>
      <x:c r="G8" s="15"/>
      <x:c r="H8" s="11"/>
      <x:c r="I8" s="11"/>
      <x:c r="J8" s="11"/>
      <x:c r="K8" s="11"/>
      <x:c r="L8" s="11"/>
      <x:c r="M8" s="15"/>
      <x:c r="N8" s="14"/>
      <x:c r="O8" s="11"/>
    </x:row>
    <x:row r="9" ht="60" customHeight="1">
      <x:c r="A9" s="11"/>
      <x:c r="B9" s="11"/>
      <x:c r="C9" s="11"/>
      <x:c r="D9" s="11"/>
      <x:c r="E9" s="14"/>
      <x:c r="F9" s="15"/>
      <x:c r="G9" s="15"/>
      <x:c r="H9" s="11"/>
      <x:c r="I9" s="11"/>
      <x:c r="J9" s="11"/>
      <x:c r="K9" s="11"/>
      <x:c r="L9" s="11"/>
      <x:c r="M9" s="15"/>
      <x:c r="N9" s="14"/>
      <x:c r="O9" s="11"/>
    </x:row>
    <x:row r="10" ht="60" customHeight="1">
      <x:c r="A10" s="11"/>
      <x:c r="B10" s="11"/>
      <x:c r="C10" s="11"/>
      <x:c r="D10" s="11"/>
      <x:c r="E10" s="14"/>
      <x:c r="F10" s="15"/>
      <x:c r="G10" s="15"/>
      <x:c r="H10" s="11"/>
      <x:c r="I10" s="11"/>
      <x:c r="J10" s="11"/>
      <x:c r="K10" s="11"/>
      <x:c r="L10" s="11"/>
      <x:c r="M10" s="15"/>
      <x:c r="N10" s="14"/>
      <x:c r="O10" s="11"/>
    </x:row>
    <x:row r="11" ht="60" customHeight="1">
      <x:c r="A11" s="11"/>
      <x:c r="B11" s="11"/>
      <x:c r="C11" s="11"/>
      <x:c r="D11" s="11"/>
      <x:c r="E11" s="14"/>
      <x:c r="F11" s="15"/>
      <x:c r="G11" s="15"/>
      <x:c r="H11" s="11"/>
      <x:c r="I11" s="11"/>
      <x:c r="J11" s="11"/>
      <x:c r="K11" s="11"/>
      <x:c r="L11" s="11"/>
      <x:c r="M11" s="15"/>
      <x:c r="N11" s="14"/>
      <x:c r="O11" s="11"/>
    </x:row>
    <x:row r="12" ht="60" customHeight="1">
      <x:c r="A12" s="11"/>
      <x:c r="B12" s="11"/>
      <x:c r="C12" s="11"/>
      <x:c r="D12" s="11"/>
      <x:c r="E12" s="14"/>
      <x:c r="F12" s="15"/>
      <x:c r="G12" s="15"/>
      <x:c r="H12" s="11"/>
      <x:c r="I12" s="11"/>
      <x:c r="J12" s="11"/>
      <x:c r="K12" s="11"/>
      <x:c r="L12" s="11"/>
      <x:c r="M12" s="15"/>
      <x:c r="N12" s="14"/>
      <x:c r="O12" s="11"/>
    </x:row>
    <x:row r="13" ht="60" customHeight="1">
      <x:c r="A13" s="11"/>
      <x:c r="B13" s="11"/>
      <x:c r="C13" s="11"/>
      <x:c r="D13" s="11"/>
      <x:c r="E13" s="14"/>
      <x:c r="F13" s="15"/>
      <x:c r="G13" s="15"/>
      <x:c r="H13" s="11"/>
      <x:c r="I13" s="11"/>
      <x:c r="J13" s="11"/>
      <x:c r="K13" s="11"/>
      <x:c r="L13" s="11"/>
      <x:c r="M13" s="15"/>
      <x:c r="N13" s="14"/>
      <x:c r="O13" s="11"/>
    </x:row>
    <x:row r="14" ht="60" customHeight="1">
      <x:c r="A14" s="11"/>
      <x:c r="B14" s="11"/>
      <x:c r="C14" s="11"/>
      <x:c r="D14" s="11"/>
      <x:c r="E14" s="14"/>
      <x:c r="F14" s="15"/>
      <x:c r="G14" s="15"/>
      <x:c r="H14" s="11"/>
      <x:c r="I14" s="11"/>
      <x:c r="J14" s="11"/>
      <x:c r="K14" s="11"/>
      <x:c r="L14" s="11"/>
      <x:c r="M14" s="15"/>
      <x:c r="N14" s="14"/>
      <x:c r="O14" s="11"/>
    </x:row>
    <x:row r="15" ht="60" customHeight="1">
      <x:c r="A15" s="11"/>
      <x:c r="B15" s="11"/>
      <x:c r="C15" s="11"/>
      <x:c r="D15" s="11"/>
      <x:c r="E15" s="14"/>
      <x:c r="F15" s="15"/>
      <x:c r="G15" s="15"/>
      <x:c r="H15" s="11"/>
      <x:c r="I15" s="11"/>
      <x:c r="J15" s="11"/>
      <x:c r="K15" s="11"/>
      <x:c r="L15" s="11"/>
      <x:c r="M15" s="15"/>
      <x:c r="N15" s="14"/>
      <x:c r="O15" s="11"/>
    </x:row>
    <x:row r="16" ht="60" customHeight="1">
      <x:c r="A16" s="11"/>
      <x:c r="B16" s="11"/>
      <x:c r="C16" s="11"/>
      <x:c r="D16" s="11"/>
      <x:c r="E16" s="14"/>
      <x:c r="F16" s="15"/>
      <x:c r="G16" s="15"/>
      <x:c r="H16" s="11"/>
      <x:c r="I16" s="11"/>
      <x:c r="J16" s="11"/>
      <x:c r="K16" s="11"/>
      <x:c r="L16" s="11"/>
      <x:c r="M16" s="15"/>
      <x:c r="N16" s="14"/>
      <x:c r="O16" s="11"/>
    </x:row>
    <x:row r="17" ht="60" customHeight="1">
      <x:c r="A17" s="11"/>
      <x:c r="B17" s="11"/>
      <x:c r="C17" s="11"/>
      <x:c r="D17" s="11"/>
      <x:c r="E17" s="14"/>
      <x:c r="F17" s="15"/>
      <x:c r="G17" s="15"/>
      <x:c r="H17" s="11"/>
      <x:c r="I17" s="11"/>
      <x:c r="J17" s="11"/>
      <x:c r="K17" s="11"/>
      <x:c r="L17" s="11"/>
      <x:c r="M17" s="15"/>
      <x:c r="N17" s="14"/>
      <x:c r="O17" s="11"/>
    </x:row>
    <x:row r="18" ht="60" customHeight="1">
      <x:c r="A18" s="11"/>
      <x:c r="B18" s="11"/>
      <x:c r="C18" s="11"/>
      <x:c r="D18" s="11"/>
      <x:c r="E18" s="14"/>
      <x:c r="F18" s="15"/>
      <x:c r="G18" s="15"/>
      <x:c r="H18" s="11"/>
      <x:c r="I18" s="11"/>
      <x:c r="J18" s="11"/>
      <x:c r="K18" s="11"/>
      <x:c r="L18" s="11"/>
      <x:c r="M18" s="15"/>
      <x:c r="N18" s="14"/>
      <x:c r="O18" s="11"/>
    </x:row>
    <x:row r="19" ht="60" customHeight="1">
      <x:c r="A19" s="11"/>
      <x:c r="B19" s="11"/>
      <x:c r="C19" s="11"/>
      <x:c r="D19" s="11"/>
      <x:c r="E19" s="14"/>
      <x:c r="F19" s="15"/>
      <x:c r="G19" s="15"/>
      <x:c r="H19" s="11"/>
      <x:c r="I19" s="11"/>
      <x:c r="J19" s="11"/>
      <x:c r="K19" s="11"/>
      <x:c r="L19" s="11"/>
      <x:c r="M19" s="15"/>
      <x:c r="N19" s="14"/>
      <x:c r="O19" s="11"/>
    </x:row>
    <x:row r="20" ht="60" customHeight="1">
      <x:c r="A20" s="11"/>
      <x:c r="B20" s="11"/>
      <x:c r="C20" s="11"/>
      <x:c r="D20" s="11"/>
      <x:c r="E20" s="14"/>
      <x:c r="F20" s="15"/>
      <x:c r="G20" s="15"/>
      <x:c r="H20" s="11"/>
      <x:c r="I20" s="11"/>
      <x:c r="J20" s="11"/>
      <x:c r="K20" s="11"/>
      <x:c r="L20" s="11"/>
      <x:c r="M20" s="15"/>
      <x:c r="N20" s="14"/>
      <x:c r="O20" s="11"/>
    </x:row>
    <x:row r="21" ht="60" customHeight="1">
      <x:c r="A21" s="11"/>
      <x:c r="B21" s="11"/>
      <x:c r="C21" s="11"/>
      <x:c r="D21" s="11"/>
      <x:c r="E21" s="14"/>
      <x:c r="F21" s="15"/>
      <x:c r="G21" s="15"/>
      <x:c r="H21" s="11"/>
      <x:c r="I21" s="11"/>
      <x:c r="J21" s="11"/>
      <x:c r="K21" s="11"/>
      <x:c r="L21" s="11"/>
      <x:c r="M21" s="15"/>
      <x:c r="N21" s="14"/>
      <x:c r="O21" s="11"/>
    </x:row>
    <x:row r="22" ht="60" customHeight="1">
      <x:c r="A22" s="11"/>
      <x:c r="B22" s="11"/>
      <x:c r="C22" s="11"/>
      <x:c r="D22" s="11"/>
      <x:c r="E22" s="14"/>
      <x:c r="F22" s="15"/>
      <x:c r="G22" s="15"/>
      <x:c r="H22" s="11"/>
      <x:c r="I22" s="11"/>
      <x:c r="J22" s="11"/>
      <x:c r="K22" s="11"/>
      <x:c r="L22" s="11"/>
      <x:c r="M22" s="15"/>
      <x:c r="N22" s="14"/>
      <x:c r="O22" s="11"/>
    </x:row>
    <x:row r="23" ht="60" customHeight="1">
      <x:c r="A23" s="11"/>
      <x:c r="B23" s="11"/>
      <x:c r="C23" s="11"/>
      <x:c r="D23" s="11"/>
      <x:c r="E23" s="14"/>
      <x:c r="F23" s="15"/>
      <x:c r="G23" s="15"/>
      <x:c r="H23" s="11"/>
      <x:c r="I23" s="11"/>
      <x:c r="J23" s="11"/>
      <x:c r="K23" s="11"/>
      <x:c r="L23" s="11"/>
      <x:c r="M23" s="15"/>
      <x:c r="N23" s="14"/>
      <x:c r="O23" s="11"/>
    </x:row>
    <x:row r="24" ht="60" customHeight="1">
      <x:c r="A24" s="11"/>
      <x:c r="B24" s="11"/>
      <x:c r="C24" s="11"/>
      <x:c r="D24" s="11"/>
      <x:c r="E24" s="14"/>
      <x:c r="F24" s="15"/>
      <x:c r="G24" s="15"/>
      <x:c r="H24" s="11"/>
      <x:c r="I24" s="11"/>
      <x:c r="J24" s="11"/>
      <x:c r="K24" s="11"/>
      <x:c r="L24" s="11"/>
      <x:c r="M24" s="15"/>
      <x:c r="N24" s="14"/>
      <x:c r="O24" s="11"/>
    </x:row>
    <x:row r="25" ht="60" customHeight="1">
      <x:c r="A25" s="11"/>
      <x:c r="B25" s="11"/>
      <x:c r="C25" s="11"/>
      <x:c r="D25" s="11"/>
      <x:c r="E25" s="14"/>
      <x:c r="F25" s="15"/>
      <x:c r="G25" s="15"/>
      <x:c r="H25" s="11"/>
      <x:c r="I25" s="11"/>
      <x:c r="J25" s="11"/>
      <x:c r="K25" s="11"/>
      <x:c r="L25" s="11"/>
      <x:c r="M25" s="15"/>
      <x:c r="N25" s="14"/>
      <x:c r="O25" s="11"/>
    </x:row>
    <x:row r="26" ht="60" customHeight="1">
      <x:c r="A26" s="11"/>
      <x:c r="B26" s="11"/>
      <x:c r="C26" s="11"/>
      <x:c r="D26" s="11"/>
      <x:c r="E26" s="14"/>
      <x:c r="F26" s="15"/>
      <x:c r="G26" s="15"/>
      <x:c r="H26" s="11"/>
      <x:c r="I26" s="11"/>
      <x:c r="J26" s="11"/>
      <x:c r="K26" s="11"/>
      <x:c r="L26" s="11"/>
      <x:c r="M26" s="15"/>
      <x:c r="N26" s="14"/>
      <x:c r="O26" s="11"/>
    </x:row>
    <x:row r="27" ht="60" customHeight="1">
      <x:c r="A27" s="11"/>
      <x:c r="B27" s="11"/>
      <x:c r="C27" s="11"/>
      <x:c r="D27" s="11"/>
      <x:c r="E27" s="14"/>
      <x:c r="F27" s="15"/>
      <x:c r="G27" s="15"/>
      <x:c r="H27" s="11"/>
      <x:c r="I27" s="11"/>
      <x:c r="J27" s="11"/>
      <x:c r="K27" s="11"/>
      <x:c r="L27" s="11"/>
      <x:c r="M27" s="15"/>
      <x:c r="N27" s="14"/>
      <x:c r="O27" s="11"/>
    </x:row>
    <x:row r="28" ht="60" customHeight="1">
      <x:c r="A28" s="11"/>
      <x:c r="B28" s="11"/>
      <x:c r="C28" s="11"/>
      <x:c r="D28" s="11"/>
      <x:c r="E28" s="14"/>
      <x:c r="F28" s="15"/>
      <x:c r="G28" s="15"/>
      <x:c r="H28" s="11"/>
      <x:c r="I28" s="11"/>
      <x:c r="J28" s="11"/>
      <x:c r="K28" s="11"/>
      <x:c r="L28" s="11"/>
      <x:c r="M28" s="15"/>
      <x:c r="N28" s="14"/>
      <x:c r="O28" s="11"/>
    </x:row>
    <x:row r="29" ht="60" customHeight="1">
      <x:c r="A29" s="11"/>
      <x:c r="B29" s="11"/>
      <x:c r="C29" s="11"/>
      <x:c r="D29" s="11"/>
      <x:c r="E29" s="14"/>
      <x:c r="F29" s="15"/>
      <x:c r="G29" s="15"/>
      <x:c r="H29" s="11"/>
      <x:c r="I29" s="11"/>
      <x:c r="J29" s="11"/>
      <x:c r="K29" s="11"/>
      <x:c r="L29" s="11"/>
      <x:c r="M29" s="15"/>
      <x:c r="N29" s="14"/>
      <x:c r="O29" s="11"/>
    </x:row>
    <x:row r="30" ht="60" customHeight="1">
      <x:c r="A30" s="11"/>
      <x:c r="B30" s="11"/>
      <x:c r="C30" s="11"/>
      <x:c r="D30" s="11"/>
      <x:c r="E30" s="14"/>
      <x:c r="F30" s="15"/>
      <x:c r="G30" s="15"/>
      <x:c r="H30" s="11"/>
      <x:c r="I30" s="11"/>
      <x:c r="J30" s="11"/>
      <x:c r="K30" s="11"/>
      <x:c r="L30" s="11"/>
      <x:c r="M30" s="15"/>
      <x:c r="N30" s="14"/>
      <x:c r="O30" s="11"/>
    </x:row>
    <x:row r="31" ht="60" customHeight="1">
      <x:c r="A31" s="11"/>
      <x:c r="B31" s="11"/>
      <x:c r="C31" s="11"/>
      <x:c r="D31" s="11"/>
      <x:c r="E31" s="14"/>
      <x:c r="F31" s="15"/>
      <x:c r="G31" s="15"/>
      <x:c r="H31" s="11"/>
      <x:c r="I31" s="11"/>
      <x:c r="J31" s="11"/>
      <x:c r="K31" s="11"/>
      <x:c r="L31" s="11"/>
      <x:c r="M31" s="15"/>
      <x:c r="N31" s="14"/>
      <x:c r="O31" s="11"/>
    </x:row>
    <x:row r="32" ht="60" customHeight="1">
      <x:c r="A32" s="11"/>
      <x:c r="B32" s="11"/>
      <x:c r="C32" s="11"/>
      <x:c r="D32" s="11"/>
      <x:c r="E32" s="14"/>
      <x:c r="F32" s="15"/>
      <x:c r="G32" s="15"/>
      <x:c r="H32" s="11"/>
      <x:c r="I32" s="11"/>
      <x:c r="J32" s="11"/>
      <x:c r="K32" s="11"/>
      <x:c r="L32" s="11"/>
      <x:c r="M32" s="15"/>
      <x:c r="N32" s="14"/>
      <x:c r="O32" s="11"/>
    </x:row>
    <x:row r="33" ht="60" customHeight="1">
      <x:c r="A33" s="11"/>
      <x:c r="B33" s="11"/>
      <x:c r="C33" s="11"/>
      <x:c r="D33" s="11"/>
      <x:c r="E33" s="14"/>
      <x:c r="F33" s="15"/>
      <x:c r="G33" s="15"/>
      <x:c r="H33" s="11"/>
      <x:c r="I33" s="11"/>
      <x:c r="J33" s="11"/>
      <x:c r="K33" s="11"/>
      <x:c r="L33" s="11"/>
      <x:c r="M33" s="15"/>
      <x:c r="N33" s="14"/>
      <x:c r="O33" s="11"/>
    </x:row>
    <x:row r="34" ht="60" customHeight="1">
      <x:c r="A34" s="11"/>
      <x:c r="B34" s="11"/>
      <x:c r="C34" s="11"/>
      <x:c r="D34" s="11"/>
      <x:c r="E34" s="14"/>
      <x:c r="F34" s="15"/>
      <x:c r="G34" s="15"/>
      <x:c r="H34" s="11"/>
      <x:c r="I34" s="11"/>
      <x:c r="J34" s="11"/>
      <x:c r="K34" s="11"/>
      <x:c r="L34" s="11"/>
      <x:c r="M34" s="15"/>
      <x:c r="N34" s="14"/>
      <x:c r="O34" s="11"/>
    </x:row>
    <x:row r="35" ht="60" customHeight="1">
      <x:c r="A35" s="11"/>
      <x:c r="B35" s="11"/>
      <x:c r="C35" s="11"/>
      <x:c r="D35" s="11"/>
      <x:c r="E35" s="14"/>
      <x:c r="F35" s="15"/>
      <x:c r="G35" s="15"/>
      <x:c r="H35" s="11"/>
      <x:c r="I35" s="11"/>
      <x:c r="J35" s="11"/>
      <x:c r="K35" s="11"/>
      <x:c r="L35" s="11"/>
      <x:c r="M35" s="15"/>
      <x:c r="N35" s="14"/>
      <x:c r="O35" s="11"/>
    </x:row>
    <x:row r="36" ht="60" customHeight="1">
      <x:c r="A36" s="11"/>
      <x:c r="B36" s="11"/>
      <x:c r="C36" s="11"/>
      <x:c r="D36" s="11"/>
      <x:c r="E36" s="14"/>
      <x:c r="F36" s="15"/>
      <x:c r="G36" s="15"/>
      <x:c r="H36" s="11"/>
      <x:c r="I36" s="11"/>
      <x:c r="J36" s="11"/>
      <x:c r="K36" s="11"/>
      <x:c r="L36" s="11"/>
      <x:c r="M36" s="15"/>
      <x:c r="N36" s="14"/>
      <x:c r="O36" s="11"/>
    </x:row>
    <x:row r="37" ht="60" customHeight="1">
      <x:c r="A37" s="11"/>
      <x:c r="B37" s="11"/>
      <x:c r="C37" s="11"/>
      <x:c r="D37" s="11"/>
      <x:c r="E37" s="14"/>
      <x:c r="F37" s="15"/>
      <x:c r="G37" s="15"/>
      <x:c r="H37" s="11"/>
      <x:c r="I37" s="11"/>
      <x:c r="J37" s="11"/>
      <x:c r="K37" s="11"/>
      <x:c r="L37" s="11"/>
      <x:c r="M37" s="15"/>
      <x:c r="N37" s="14"/>
      <x:c r="O37" s="11"/>
    </x:row>
    <x:row r="38" ht="60" customHeight="1">
      <x:c r="A38" s="11"/>
      <x:c r="B38" s="11"/>
      <x:c r="C38" s="11"/>
      <x:c r="D38" s="11"/>
      <x:c r="E38" s="14"/>
      <x:c r="F38" s="15"/>
      <x:c r="G38" s="15"/>
      <x:c r="H38" s="11"/>
      <x:c r="I38" s="11"/>
      <x:c r="J38" s="11"/>
      <x:c r="K38" s="11"/>
      <x:c r="L38" s="11"/>
      <x:c r="M38" s="15"/>
      <x:c r="N38" s="14"/>
      <x:c r="O38" s="11"/>
    </x:row>
    <x:row r="39" ht="60" customHeight="1">
      <x:c r="A39" s="11"/>
      <x:c r="B39" s="11"/>
      <x:c r="C39" s="11"/>
      <x:c r="D39" s="11"/>
      <x:c r="E39" s="14"/>
      <x:c r="F39" s="15"/>
      <x:c r="G39" s="15"/>
      <x:c r="H39" s="11"/>
      <x:c r="I39" s="11"/>
      <x:c r="J39" s="11"/>
      <x:c r="K39" s="11"/>
      <x:c r="L39" s="11"/>
      <x:c r="M39" s="15"/>
      <x:c r="N39" s="14"/>
      <x:c r="O39" s="11"/>
    </x:row>
    <x:row r="40" ht="60" customHeight="1">
      <x:c r="A40" s="11"/>
      <x:c r="B40" s="11"/>
      <x:c r="C40" s="11"/>
      <x:c r="D40" s="11"/>
      <x:c r="E40" s="14"/>
      <x:c r="F40" s="15"/>
      <x:c r="G40" s="15"/>
      <x:c r="H40" s="11"/>
      <x:c r="I40" s="11"/>
      <x:c r="J40" s="11"/>
      <x:c r="K40" s="11"/>
      <x:c r="L40" s="11"/>
      <x:c r="M40" s="15"/>
      <x:c r="N40" s="14"/>
      <x:c r="O40" s="11"/>
    </x:row>
    <x:row r="41" ht="60" customHeight="1">
      <x:c r="A41" s="11"/>
      <x:c r="B41" s="11"/>
      <x:c r="C41" s="11"/>
      <x:c r="D41" s="11"/>
      <x:c r="E41" s="14"/>
      <x:c r="F41" s="15"/>
      <x:c r="G41" s="15"/>
      <x:c r="H41" s="11"/>
      <x:c r="I41" s="11"/>
      <x:c r="J41" s="11"/>
      <x:c r="K41" s="11"/>
      <x:c r="L41" s="11"/>
      <x:c r="M41" s="15"/>
      <x:c r="N41" s="14"/>
      <x:c r="O41" s="11"/>
    </x:row>
    <x:row r="42" ht="60" customHeight="1">
      <x:c r="A42" s="11"/>
      <x:c r="B42" s="11"/>
      <x:c r="C42" s="11"/>
      <x:c r="D42" s="11"/>
      <x:c r="E42" s="14"/>
      <x:c r="F42" s="15"/>
      <x:c r="G42" s="15"/>
      <x:c r="H42" s="11"/>
      <x:c r="I42" s="11"/>
      <x:c r="J42" s="11"/>
      <x:c r="K42" s="11"/>
      <x:c r="L42" s="11"/>
      <x:c r="M42" s="15"/>
      <x:c r="N42" s="14"/>
      <x:c r="O42" s="11"/>
    </x:row>
    <x:row r="43" ht="60" customHeight="1">
      <x:c r="A43" s="11"/>
      <x:c r="B43" s="11"/>
      <x:c r="C43" s="11"/>
      <x:c r="D43" s="11"/>
      <x:c r="E43" s="14"/>
      <x:c r="F43" s="15"/>
      <x:c r="G43" s="15"/>
      <x:c r="H43" s="11"/>
      <x:c r="I43" s="11"/>
      <x:c r="J43" s="11"/>
      <x:c r="K43" s="11"/>
      <x:c r="L43" s="11"/>
      <x:c r="M43" s="15"/>
      <x:c r="N43" s="14"/>
      <x:c r="O43" s="11"/>
    </x:row>
    <x:row r="44" ht="60" customHeight="1">
      <x:c r="A44" s="11"/>
      <x:c r="B44" s="11"/>
      <x:c r="C44" s="11"/>
      <x:c r="D44" s="11"/>
      <x:c r="E44" s="14"/>
      <x:c r="F44" s="15"/>
      <x:c r="G44" s="15"/>
      <x:c r="H44" s="11"/>
      <x:c r="I44" s="11"/>
      <x:c r="J44" s="11"/>
      <x:c r="K44" s="11"/>
      <x:c r="L44" s="11"/>
      <x:c r="M44" s="15"/>
      <x:c r="N44" s="14"/>
      <x:c r="O44" s="11"/>
    </x:row>
    <x:row r="45" ht="60" customHeight="1">
      <x:c r="A45" s="11"/>
      <x:c r="B45" s="11"/>
      <x:c r="C45" s="11"/>
      <x:c r="D45" s="11"/>
      <x:c r="E45" s="14"/>
      <x:c r="F45" s="15"/>
      <x:c r="G45" s="15"/>
      <x:c r="H45" s="11"/>
      <x:c r="I45" s="11"/>
      <x:c r="J45" s="11"/>
      <x:c r="K45" s="11"/>
      <x:c r="L45" s="11"/>
      <x:c r="M45" s="15"/>
      <x:c r="N45" s="14"/>
      <x:c r="O45" s="11"/>
    </x:row>
    <x:row r="46" ht="60" customHeight="1">
      <x:c r="A46" s="11"/>
      <x:c r="B46" s="11"/>
      <x:c r="C46" s="11"/>
      <x:c r="D46" s="11"/>
      <x:c r="E46" s="14"/>
      <x:c r="F46" s="15"/>
      <x:c r="G46" s="15"/>
      <x:c r="H46" s="11"/>
      <x:c r="I46" s="11"/>
      <x:c r="J46" s="11"/>
      <x:c r="K46" s="11"/>
      <x:c r="L46" s="11"/>
      <x:c r="M46" s="15"/>
      <x:c r="N46" s="14"/>
      <x:c r="O46" s="11"/>
    </x:row>
    <x:row r="47" ht="60" customHeight="1">
      <x:c r="A47" s="11"/>
      <x:c r="B47" s="11"/>
      <x:c r="C47" s="11"/>
      <x:c r="D47" s="11"/>
      <x:c r="E47" s="14"/>
      <x:c r="F47" s="15"/>
      <x:c r="G47" s="15"/>
      <x:c r="H47" s="11"/>
      <x:c r="I47" s="11"/>
      <x:c r="J47" s="11"/>
      <x:c r="K47" s="11"/>
      <x:c r="L47" s="11"/>
      <x:c r="M47" s="15"/>
      <x:c r="N47" s="14"/>
      <x:c r="O47" s="11"/>
    </x:row>
    <x:row r="48" ht="60" customHeight="1">
      <x:c r="A48" s="11"/>
      <x:c r="B48" s="11"/>
      <x:c r="C48" s="11"/>
      <x:c r="D48" s="11"/>
      <x:c r="E48" s="14"/>
      <x:c r="F48" s="15"/>
      <x:c r="G48" s="15"/>
      <x:c r="H48" s="11"/>
      <x:c r="I48" s="11"/>
      <x:c r="J48" s="11"/>
      <x:c r="K48" s="11"/>
      <x:c r="L48" s="11"/>
      <x:c r="M48" s="15"/>
      <x:c r="N48" s="14"/>
      <x:c r="O48" s="11"/>
    </x:row>
    <x:row r="49" ht="60" customHeight="1">
      <x:c r="A49" s="11"/>
      <x:c r="B49" s="11"/>
      <x:c r="C49" s="11"/>
      <x:c r="D49" s="11"/>
      <x:c r="E49" s="14"/>
      <x:c r="F49" s="15"/>
      <x:c r="G49" s="15"/>
      <x:c r="H49" s="11"/>
      <x:c r="I49" s="11"/>
      <x:c r="J49" s="11"/>
      <x:c r="K49" s="11"/>
      <x:c r="L49" s="11"/>
      <x:c r="M49" s="15"/>
      <x:c r="N49" s="14"/>
      <x:c r="O49" s="11"/>
    </x:row>
    <x:row r="50" ht="60" customHeight="1">
      <x:c r="A50" s="11"/>
      <x:c r="B50" s="11"/>
      <x:c r="C50" s="11"/>
      <x:c r="D50" s="11"/>
      <x:c r="E50" s="14"/>
      <x:c r="F50" s="15"/>
      <x:c r="G50" s="15"/>
      <x:c r="H50" s="11"/>
      <x:c r="I50" s="11"/>
      <x:c r="J50" s="11"/>
      <x:c r="K50" s="11"/>
      <x:c r="L50" s="11"/>
      <x:c r="M50" s="15"/>
      <x:c r="N50" s="14"/>
      <x:c r="O50" s="11"/>
    </x:row>
    <x:row r="51" ht="60" customHeight="1">
      <x:c r="A51" s="11"/>
      <x:c r="B51" s="11"/>
      <x:c r="C51" s="11"/>
      <x:c r="D51" s="11"/>
      <x:c r="E51" s="14"/>
      <x:c r="F51" s="15"/>
      <x:c r="G51" s="15"/>
      <x:c r="H51" s="11"/>
      <x:c r="I51" s="11"/>
      <x:c r="J51" s="11"/>
      <x:c r="K51" s="11"/>
      <x:c r="L51" s="11"/>
      <x:c r="M51" s="15"/>
      <x:c r="N51" s="14"/>
      <x:c r="O51" s="11"/>
    </x:row>
    <x:row r="52" ht="60" customHeight="1">
      <x:c r="A52" s="11"/>
      <x:c r="B52" s="11"/>
      <x:c r="C52" s="11"/>
      <x:c r="D52" s="11"/>
      <x:c r="E52" s="14"/>
      <x:c r="F52" s="15"/>
      <x:c r="G52" s="15"/>
      <x:c r="H52" s="11"/>
      <x:c r="I52" s="11"/>
      <x:c r="J52" s="11"/>
      <x:c r="K52" s="11"/>
      <x:c r="L52" s="11"/>
      <x:c r="M52" s="15"/>
      <x:c r="N52" s="14"/>
      <x:c r="O52" s="11"/>
    </x:row>
    <x:row r="53" ht="60" customHeight="1">
      <x:c r="A53" s="11"/>
      <x:c r="B53" s="11"/>
      <x:c r="C53" s="11"/>
      <x:c r="D53" s="11"/>
      <x:c r="E53" s="14"/>
      <x:c r="F53" s="15"/>
      <x:c r="G53" s="15"/>
      <x:c r="H53" s="11"/>
      <x:c r="I53" s="11"/>
      <x:c r="J53" s="11"/>
      <x:c r="K53" s="11"/>
      <x:c r="L53" s="11"/>
      <x:c r="M53" s="15"/>
      <x:c r="N53" s="14"/>
      <x:c r="O53" s="11"/>
    </x:row>
    <x:row r="54" ht="60" customHeight="1">
      <x:c r="A54" s="11"/>
      <x:c r="B54" s="11"/>
      <x:c r="C54" s="11"/>
      <x:c r="D54" s="11"/>
      <x:c r="E54" s="14"/>
      <x:c r="F54" s="15"/>
      <x:c r="G54" s="15"/>
      <x:c r="H54" s="11"/>
      <x:c r="I54" s="11"/>
      <x:c r="J54" s="11"/>
      <x:c r="K54" s="11"/>
      <x:c r="L54" s="11"/>
      <x:c r="M54" s="15"/>
      <x:c r="N54" s="14"/>
      <x:c r="O54" s="11"/>
    </x:row>
    <x:row r="55" ht="60" customHeight="1">
      <x:c r="A55" s="11"/>
      <x:c r="B55" s="11"/>
      <x:c r="C55" s="11"/>
      <x:c r="D55" s="11"/>
      <x:c r="E55" s="14"/>
      <x:c r="F55" s="15"/>
      <x:c r="G55" s="15"/>
      <x:c r="H55" s="11"/>
      <x:c r="I55" s="11"/>
      <x:c r="J55" s="11"/>
      <x:c r="K55" s="11"/>
      <x:c r="L55" s="11"/>
      <x:c r="M55" s="15"/>
      <x:c r="N55" s="14"/>
      <x:c r="O55" s="11"/>
    </x:row>
    <x:row r="56" ht="60" customHeight="1">
      <x:c r="A56" s="11"/>
      <x:c r="B56" s="11"/>
      <x:c r="C56" s="11"/>
      <x:c r="D56" s="11"/>
      <x:c r="E56" s="14"/>
      <x:c r="F56" s="15"/>
      <x:c r="G56" s="15"/>
      <x:c r="H56" s="11"/>
      <x:c r="I56" s="11"/>
      <x:c r="J56" s="11"/>
      <x:c r="K56" s="11"/>
      <x:c r="L56" s="11"/>
      <x:c r="M56" s="15"/>
      <x:c r="N56" s="14"/>
      <x:c r="O56" s="11"/>
    </x:row>
    <x:row r="57" ht="60" customHeight="1">
      <x:c r="A57" s="11"/>
      <x:c r="B57" s="11"/>
      <x:c r="C57" s="11"/>
      <x:c r="D57" s="11"/>
      <x:c r="E57" s="14"/>
      <x:c r="F57" s="15"/>
      <x:c r="G57" s="15"/>
      <x:c r="H57" s="11"/>
      <x:c r="I57" s="11"/>
      <x:c r="J57" s="11"/>
      <x:c r="K57" s="11"/>
      <x:c r="L57" s="11"/>
      <x:c r="M57" s="15"/>
      <x:c r="N57" s="14"/>
      <x:c r="O57" s="11"/>
    </x:row>
    <x:row r="58" ht="60" customHeight="1">
      <x:c r="A58" s="11"/>
      <x:c r="B58" s="11"/>
      <x:c r="C58" s="11"/>
      <x:c r="D58" s="11"/>
      <x:c r="E58" s="14"/>
      <x:c r="F58" s="15"/>
      <x:c r="G58" s="15"/>
      <x:c r="H58" s="11"/>
      <x:c r="I58" s="11"/>
      <x:c r="J58" s="11"/>
      <x:c r="K58" s="11"/>
      <x:c r="L58" s="11"/>
      <x:c r="M58" s="15"/>
      <x:c r="N58" s="14"/>
      <x:c r="O58" s="11"/>
    </x:row>
    <x:row r="59" ht="60" customHeight="1">
      <x:c r="A59" s="11"/>
      <x:c r="B59" s="11"/>
      <x:c r="C59" s="11"/>
      <x:c r="D59" s="11"/>
      <x:c r="E59" s="14"/>
      <x:c r="F59" s="15"/>
      <x:c r="G59" s="15"/>
      <x:c r="H59" s="11"/>
      <x:c r="I59" s="11"/>
      <x:c r="J59" s="11"/>
      <x:c r="K59" s="11"/>
      <x:c r="L59" s="11"/>
      <x:c r="M59" s="15"/>
      <x:c r="N59" s="14"/>
      <x:c r="O59" s="11"/>
    </x:row>
    <x:row r="60" ht="60" customHeight="1">
      <x:c r="A60" s="11"/>
      <x:c r="B60" s="11"/>
      <x:c r="C60" s="11"/>
      <x:c r="D60" s="11"/>
      <x:c r="E60" s="14"/>
      <x:c r="F60" s="15"/>
      <x:c r="G60" s="15"/>
      <x:c r="H60" s="11"/>
      <x:c r="I60" s="11"/>
      <x:c r="J60" s="11"/>
      <x:c r="K60" s="11"/>
      <x:c r="L60" s="11"/>
      <x:c r="M60" s="15"/>
      <x:c r="N60" s="14"/>
      <x:c r="O60" s="11"/>
    </x:row>
    <x:row r="61" ht="60" customHeight="1">
      <x:c r="A61" s="11"/>
      <x:c r="B61" s="11"/>
      <x:c r="C61" s="11"/>
      <x:c r="D61" s="11"/>
      <x:c r="E61" s="14"/>
      <x:c r="F61" s="15"/>
      <x:c r="G61" s="15"/>
      <x:c r="H61" s="11"/>
      <x:c r="I61" s="11"/>
      <x:c r="J61" s="11"/>
      <x:c r="K61" s="11"/>
      <x:c r="L61" s="11"/>
      <x:c r="M61" s="15"/>
      <x:c r="N61" s="14"/>
      <x:c r="O61" s="11"/>
    </x:row>
    <x:row r="62" ht="60" customHeight="1">
      <x:c r="A62" s="11"/>
      <x:c r="B62" s="11"/>
      <x:c r="C62" s="11"/>
      <x:c r="D62" s="11"/>
      <x:c r="E62" s="14"/>
      <x:c r="F62" s="15"/>
      <x:c r="G62" s="15"/>
      <x:c r="H62" s="11"/>
      <x:c r="I62" s="11"/>
      <x:c r="J62" s="11"/>
      <x:c r="K62" s="11"/>
      <x:c r="L62" s="11"/>
      <x:c r="M62" s="15"/>
      <x:c r="N62" s="14"/>
      <x:c r="O62" s="11"/>
    </x:row>
    <x:row r="63" ht="60" customHeight="1">
      <x:c r="A63" s="11"/>
      <x:c r="B63" s="11"/>
      <x:c r="C63" s="11"/>
      <x:c r="D63" s="11"/>
      <x:c r="E63" s="14"/>
      <x:c r="F63" s="15"/>
      <x:c r="G63" s="15"/>
      <x:c r="H63" s="11"/>
      <x:c r="I63" s="11"/>
      <x:c r="J63" s="11"/>
      <x:c r="K63" s="11"/>
      <x:c r="L63" s="11"/>
      <x:c r="M63" s="15"/>
      <x:c r="N63" s="14"/>
      <x:c r="O63" s="11"/>
    </x:row>
    <x:row r="64" ht="60" customHeight="1">
      <x:c r="A64" s="11"/>
      <x:c r="B64" s="11"/>
      <x:c r="C64" s="11"/>
      <x:c r="D64" s="11"/>
      <x:c r="E64" s="14"/>
      <x:c r="F64" s="15"/>
      <x:c r="G64" s="15"/>
      <x:c r="H64" s="11"/>
      <x:c r="I64" s="11"/>
      <x:c r="J64" s="11"/>
      <x:c r="K64" s="11"/>
      <x:c r="L64" s="11"/>
      <x:c r="M64" s="15"/>
      <x:c r="N64" s="14"/>
      <x:c r="O64" s="11"/>
    </x:row>
    <x:row r="65" ht="60" customHeight="1">
      <x:c r="A65" s="11"/>
      <x:c r="B65" s="11"/>
      <x:c r="C65" s="11"/>
      <x:c r="D65" s="11"/>
      <x:c r="E65" s="14"/>
      <x:c r="F65" s="15"/>
      <x:c r="G65" s="15"/>
      <x:c r="H65" s="11"/>
      <x:c r="I65" s="11"/>
      <x:c r="J65" s="11"/>
      <x:c r="K65" s="11"/>
      <x:c r="L65" s="11"/>
      <x:c r="M65" s="15"/>
      <x:c r="N65" s="14"/>
      <x:c r="O65" s="11"/>
    </x:row>
    <x:row r="66" ht="60" customHeight="1">
      <x:c r="A66" s="11"/>
      <x:c r="B66" s="11"/>
      <x:c r="C66" s="11"/>
      <x:c r="D66" s="11"/>
      <x:c r="E66" s="14"/>
      <x:c r="F66" s="15"/>
      <x:c r="G66" s="15"/>
      <x:c r="H66" s="11"/>
      <x:c r="I66" s="11"/>
      <x:c r="J66" s="11"/>
      <x:c r="K66" s="11"/>
      <x:c r="L66" s="11"/>
      <x:c r="M66" s="15"/>
      <x:c r="N66" s="14"/>
      <x:c r="O66" s="11"/>
    </x:row>
    <x:row r="67" ht="60" customHeight="1">
      <x:c r="A67" s="11"/>
      <x:c r="B67" s="11"/>
      <x:c r="C67" s="11"/>
      <x:c r="D67" s="11"/>
      <x:c r="E67" s="14"/>
      <x:c r="F67" s="15"/>
      <x:c r="G67" s="15"/>
      <x:c r="H67" s="11"/>
      <x:c r="I67" s="11"/>
      <x:c r="J67" s="11"/>
      <x:c r="K67" s="11"/>
      <x:c r="L67" s="11"/>
      <x:c r="M67" s="15"/>
      <x:c r="N67" s="14"/>
      <x:c r="O67" s="11"/>
    </x:row>
    <x:row r="68" ht="60" customHeight="1">
      <x:c r="A68" s="11"/>
      <x:c r="B68" s="11"/>
      <x:c r="C68" s="11"/>
      <x:c r="D68" s="11"/>
      <x:c r="E68" s="14"/>
      <x:c r="F68" s="15"/>
      <x:c r="G68" s="15"/>
      <x:c r="H68" s="11"/>
      <x:c r="I68" s="11"/>
      <x:c r="J68" s="11"/>
      <x:c r="K68" s="11"/>
      <x:c r="L68" s="11"/>
      <x:c r="M68" s="15"/>
      <x:c r="N68" s="14"/>
      <x:c r="O68" s="11"/>
    </x:row>
    <x:row r="69" ht="60" customHeight="1">
      <x:c r="A69" s="11"/>
      <x:c r="B69" s="11"/>
      <x:c r="C69" s="11"/>
      <x:c r="D69" s="11"/>
      <x:c r="E69" s="14"/>
      <x:c r="F69" s="15"/>
      <x:c r="G69" s="15"/>
      <x:c r="H69" s="11"/>
      <x:c r="I69" s="11"/>
      <x:c r="J69" s="11"/>
      <x:c r="K69" s="11"/>
      <x:c r="L69" s="11"/>
      <x:c r="M69" s="15"/>
      <x:c r="N69" s="14"/>
      <x:c r="O69" s="11"/>
    </x:row>
    <x:row r="70" ht="60" customHeight="1">
      <x:c r="A70" s="11"/>
      <x:c r="B70" s="11"/>
      <x:c r="C70" s="11"/>
      <x:c r="D70" s="11"/>
      <x:c r="E70" s="14"/>
      <x:c r="F70" s="15"/>
      <x:c r="G70" s="15"/>
      <x:c r="H70" s="11"/>
      <x:c r="I70" s="11"/>
      <x:c r="J70" s="11"/>
      <x:c r="K70" s="11"/>
      <x:c r="L70" s="11"/>
      <x:c r="M70" s="15"/>
      <x:c r="N70" s="14"/>
      <x:c r="O70" s="11"/>
    </x:row>
    <x:row r="71" ht="60" customHeight="1">
      <x:c r="A71" s="11"/>
      <x:c r="B71" s="11"/>
      <x:c r="C71" s="11"/>
      <x:c r="D71" s="11"/>
      <x:c r="E71" s="14"/>
      <x:c r="F71" s="15"/>
      <x:c r="G71" s="15"/>
      <x:c r="H71" s="11"/>
      <x:c r="I71" s="11"/>
      <x:c r="J71" s="11"/>
      <x:c r="K71" s="11"/>
      <x:c r="L71" s="11"/>
      <x:c r="M71" s="15"/>
      <x:c r="N71" s="14"/>
      <x:c r="O71" s="11"/>
    </x:row>
    <x:row r="72" ht="60" customHeight="1">
      <x:c r="A72" s="11"/>
      <x:c r="B72" s="11"/>
      <x:c r="C72" s="11"/>
      <x:c r="D72" s="11"/>
      <x:c r="E72" s="14"/>
      <x:c r="F72" s="15"/>
      <x:c r="G72" s="15"/>
      <x:c r="H72" s="11"/>
      <x:c r="I72" s="11"/>
      <x:c r="J72" s="11"/>
      <x:c r="K72" s="11"/>
      <x:c r="L72" s="11"/>
      <x:c r="M72" s="15"/>
      <x:c r="N72" s="14"/>
      <x:c r="O72" s="11"/>
    </x:row>
    <x:row r="73" ht="60" customHeight="1">
      <x:c r="A73" s="11"/>
      <x:c r="B73" s="11"/>
      <x:c r="C73" s="11"/>
      <x:c r="D73" s="11"/>
      <x:c r="E73" s="14"/>
      <x:c r="F73" s="15"/>
      <x:c r="G73" s="15"/>
      <x:c r="H73" s="11"/>
      <x:c r="I73" s="11"/>
      <x:c r="J73" s="11"/>
      <x:c r="K73" s="11"/>
      <x:c r="L73" s="11"/>
      <x:c r="M73" s="15"/>
      <x:c r="N73" s="14"/>
      <x:c r="O73" s="11"/>
    </x:row>
    <x:row r="74" ht="60" customHeight="1">
      <x:c r="A74" s="11"/>
      <x:c r="B74" s="11"/>
      <x:c r="C74" s="11"/>
      <x:c r="D74" s="11"/>
      <x:c r="E74" s="14"/>
      <x:c r="F74" s="15"/>
      <x:c r="G74" s="15"/>
      <x:c r="H74" s="11"/>
      <x:c r="I74" s="11"/>
      <x:c r="J74" s="11"/>
      <x:c r="K74" s="11"/>
      <x:c r="L74" s="11"/>
      <x:c r="M74" s="15"/>
      <x:c r="N74" s="14"/>
      <x:c r="O74" s="11"/>
    </x:row>
    <x:row r="75" ht="60" customHeight="1">
      <x:c r="A75" s="11"/>
      <x:c r="B75" s="11"/>
      <x:c r="C75" s="11"/>
      <x:c r="D75" s="11"/>
      <x:c r="E75" s="14"/>
      <x:c r="F75" s="15"/>
      <x:c r="G75" s="15"/>
      <x:c r="H75" s="11"/>
      <x:c r="I75" s="11"/>
      <x:c r="J75" s="11"/>
      <x:c r="K75" s="11"/>
      <x:c r="L75" s="11"/>
      <x:c r="M75" s="15"/>
      <x:c r="N75" s="14"/>
      <x:c r="O75" s="11"/>
    </x:row>
    <x:row r="76" ht="60" customHeight="1">
      <x:c r="A76" s="11"/>
      <x:c r="B76" s="11"/>
      <x:c r="C76" s="11"/>
      <x:c r="D76" s="11"/>
      <x:c r="E76" s="14"/>
      <x:c r="F76" s="15"/>
      <x:c r="G76" s="15"/>
      <x:c r="H76" s="11"/>
      <x:c r="I76" s="11"/>
      <x:c r="J76" s="11"/>
      <x:c r="K76" s="11"/>
      <x:c r="L76" s="11"/>
      <x:c r="M76" s="15"/>
      <x:c r="N76" s="14"/>
      <x:c r="O76" s="11"/>
    </x:row>
    <x:row r="77" ht="60" customHeight="1">
      <x:c r="A77" s="11"/>
      <x:c r="B77" s="11"/>
      <x:c r="C77" s="11"/>
      <x:c r="D77" s="11"/>
      <x:c r="E77" s="14"/>
      <x:c r="F77" s="15"/>
      <x:c r="G77" s="15"/>
      <x:c r="H77" s="11"/>
      <x:c r="I77" s="11"/>
      <x:c r="J77" s="11"/>
      <x:c r="K77" s="11"/>
      <x:c r="L77" s="11"/>
      <x:c r="M77" s="15"/>
      <x:c r="N77" s="14"/>
      <x:c r="O77" s="11"/>
    </x:row>
    <x:row r="78" ht="60" customHeight="1">
      <x:c r="A78" s="11"/>
      <x:c r="B78" s="11"/>
      <x:c r="C78" s="11"/>
      <x:c r="D78" s="11"/>
      <x:c r="E78" s="14"/>
      <x:c r="F78" s="15"/>
      <x:c r="G78" s="15"/>
      <x:c r="H78" s="11"/>
      <x:c r="I78" s="11"/>
      <x:c r="J78" s="11"/>
      <x:c r="K78" s="11"/>
      <x:c r="L78" s="11"/>
      <x:c r="M78" s="15"/>
      <x:c r="N78" s="14"/>
      <x:c r="O78" s="11"/>
    </x:row>
    <x:row r="79" ht="60" customHeight="1">
      <x:c r="A79" s="11"/>
      <x:c r="B79" s="11"/>
      <x:c r="C79" s="11"/>
      <x:c r="D79" s="11"/>
      <x:c r="E79" s="14"/>
      <x:c r="F79" s="15"/>
      <x:c r="G79" s="15"/>
      <x:c r="H79" s="11"/>
      <x:c r="I79" s="11"/>
      <x:c r="J79" s="11"/>
      <x:c r="K79" s="11"/>
      <x:c r="L79" s="11"/>
      <x:c r="M79" s="15"/>
      <x:c r="N79" s="14"/>
      <x:c r="O79" s="11"/>
    </x:row>
    <x:row r="80" ht="60" customHeight="1">
      <x:c r="A80" s="11"/>
      <x:c r="B80" s="11"/>
      <x:c r="C80" s="11"/>
      <x:c r="D80" s="11"/>
      <x:c r="E80" s="14"/>
      <x:c r="F80" s="15"/>
      <x:c r="G80" s="15"/>
      <x:c r="H80" s="11"/>
      <x:c r="I80" s="11"/>
      <x:c r="J80" s="11"/>
      <x:c r="K80" s="11"/>
      <x:c r="L80" s="11"/>
      <x:c r="M80" s="15"/>
      <x:c r="N80" s="14"/>
      <x:c r="O80" s="11"/>
    </x:row>
    <x:row r="81" ht="60" customHeight="1">
      <x:c r="A81" s="11"/>
      <x:c r="B81" s="11"/>
      <x:c r="C81" s="11"/>
      <x:c r="D81" s="11"/>
      <x:c r="E81" s="14"/>
      <x:c r="F81" s="15"/>
      <x:c r="G81" s="15"/>
      <x:c r="H81" s="11"/>
      <x:c r="I81" s="11"/>
      <x:c r="J81" s="11"/>
      <x:c r="K81" s="11"/>
      <x:c r="L81" s="11"/>
      <x:c r="M81" s="15"/>
      <x:c r="N81" s="14"/>
      <x:c r="O81" s="11"/>
    </x:row>
    <x:row r="82" ht="60" customHeight="1">
      <x:c r="A82" s="11"/>
      <x:c r="B82" s="11"/>
      <x:c r="C82" s="11"/>
      <x:c r="D82" s="11"/>
      <x:c r="E82" s="14"/>
      <x:c r="F82" s="15"/>
      <x:c r="G82" s="15"/>
      <x:c r="H82" s="11"/>
      <x:c r="I82" s="11"/>
      <x:c r="J82" s="11"/>
      <x:c r="K82" s="11"/>
      <x:c r="L82" s="11"/>
      <x:c r="M82" s="15"/>
      <x:c r="N82" s="14"/>
      <x:c r="O82" s="11"/>
    </x:row>
    <x:row r="83" ht="60" customHeight="1">
      <x:c r="A83" s="11"/>
      <x:c r="B83" s="11"/>
      <x:c r="C83" s="11"/>
      <x:c r="D83" s="11"/>
      <x:c r="E83" s="14"/>
      <x:c r="F83" s="15"/>
      <x:c r="G83" s="15"/>
      <x:c r="H83" s="11"/>
      <x:c r="I83" s="11"/>
      <x:c r="J83" s="11"/>
      <x:c r="K83" s="11"/>
      <x:c r="L83" s="11"/>
      <x:c r="M83" s="15"/>
      <x:c r="N83" s="14"/>
      <x:c r="O83" s="11"/>
    </x:row>
    <x:row r="84" ht="60" customHeight="1">
      <x:c r="A84" s="11"/>
      <x:c r="B84" s="11"/>
      <x:c r="C84" s="11"/>
      <x:c r="D84" s="11"/>
      <x:c r="E84" s="14"/>
      <x:c r="F84" s="15"/>
      <x:c r="G84" s="15"/>
      <x:c r="H84" s="11"/>
      <x:c r="I84" s="11"/>
      <x:c r="J84" s="11"/>
      <x:c r="K84" s="11"/>
      <x:c r="L84" s="11"/>
      <x:c r="M84" s="15"/>
      <x:c r="N84" s="14"/>
      <x:c r="O84" s="11"/>
    </x:row>
    <x:row r="85" ht="60" customHeight="1">
      <x:c r="A85" s="11"/>
      <x:c r="B85" s="11"/>
      <x:c r="C85" s="11"/>
      <x:c r="D85" s="11"/>
      <x:c r="E85" s="14"/>
      <x:c r="F85" s="15"/>
      <x:c r="G85" s="15"/>
      <x:c r="H85" s="11"/>
      <x:c r="I85" s="11"/>
      <x:c r="J85" s="11"/>
      <x:c r="K85" s="11"/>
      <x:c r="L85" s="11"/>
      <x:c r="M85" s="15"/>
      <x:c r="N85" s="14"/>
      <x:c r="O85" s="11"/>
    </x:row>
    <x:row r="86" ht="60" customHeight="1">
      <x:c r="A86" s="11"/>
      <x:c r="B86" s="11"/>
      <x:c r="C86" s="11"/>
      <x:c r="D86" s="11"/>
      <x:c r="E86" s="14"/>
      <x:c r="F86" s="15"/>
      <x:c r="G86" s="15"/>
      <x:c r="H86" s="11"/>
      <x:c r="I86" s="11"/>
      <x:c r="J86" s="11"/>
      <x:c r="K86" s="11"/>
      <x:c r="L86" s="11"/>
      <x:c r="M86" s="15"/>
      <x:c r="N86" s="14"/>
      <x:c r="O86" s="11"/>
    </x:row>
    <x:row r="87" ht="60" customHeight="1">
      <x:c r="A87" s="11"/>
      <x:c r="B87" s="11"/>
      <x:c r="C87" s="11"/>
      <x:c r="D87" s="11"/>
      <x:c r="E87" s="14"/>
      <x:c r="F87" s="15"/>
      <x:c r="G87" s="15"/>
      <x:c r="H87" s="11"/>
      <x:c r="I87" s="11"/>
      <x:c r="J87" s="11"/>
      <x:c r="K87" s="11"/>
      <x:c r="L87" s="11"/>
      <x:c r="M87" s="15"/>
      <x:c r="N87" s="14"/>
      <x:c r="O87" s="11"/>
    </x:row>
    <x:row r="88" ht="60" customHeight="1">
      <x:c r="A88" s="11"/>
      <x:c r="B88" s="11"/>
      <x:c r="C88" s="11"/>
      <x:c r="D88" s="11"/>
      <x:c r="E88" s="14"/>
      <x:c r="F88" s="15"/>
      <x:c r="G88" s="15"/>
      <x:c r="H88" s="11"/>
      <x:c r="I88" s="11"/>
      <x:c r="J88" s="11"/>
      <x:c r="K88" s="11"/>
      <x:c r="L88" s="11"/>
      <x:c r="M88" s="15"/>
      <x:c r="N88" s="14"/>
      <x:c r="O88" s="11"/>
    </x:row>
    <x:row r="89" ht="60" customHeight="1">
      <x:c r="A89" s="11"/>
      <x:c r="B89" s="11"/>
      <x:c r="C89" s="11"/>
      <x:c r="D89" s="11"/>
      <x:c r="E89" s="14"/>
      <x:c r="F89" s="15"/>
      <x:c r="G89" s="15"/>
      <x:c r="H89" s="11"/>
      <x:c r="I89" s="11"/>
      <x:c r="J89" s="11"/>
      <x:c r="K89" s="11"/>
      <x:c r="L89" s="11"/>
      <x:c r="M89" s="15"/>
      <x:c r="N89" s="14"/>
      <x:c r="O89" s="11"/>
    </x:row>
    <x:row r="90" ht="60" customHeight="1">
      <x:c r="A90" s="11"/>
      <x:c r="B90" s="11"/>
      <x:c r="C90" s="11"/>
      <x:c r="D90" s="11"/>
      <x:c r="E90" s="14"/>
      <x:c r="F90" s="15"/>
      <x:c r="G90" s="15"/>
      <x:c r="H90" s="11"/>
      <x:c r="I90" s="11"/>
      <x:c r="J90" s="11"/>
      <x:c r="K90" s="11"/>
      <x:c r="L90" s="11"/>
      <x:c r="M90" s="15"/>
      <x:c r="N90" s="14"/>
      <x:c r="O90" s="11"/>
    </x:row>
    <x:row r="91" ht="60" customHeight="1">
      <x:c r="A91" s="11"/>
      <x:c r="B91" s="11"/>
      <x:c r="C91" s="11"/>
      <x:c r="D91" s="11"/>
      <x:c r="E91" s="14"/>
      <x:c r="F91" s="15"/>
      <x:c r="G91" s="15"/>
      <x:c r="H91" s="11"/>
      <x:c r="I91" s="11"/>
      <x:c r="J91" s="11"/>
      <x:c r="K91" s="11"/>
      <x:c r="L91" s="11"/>
      <x:c r="M91" s="15"/>
      <x:c r="N91" s="14"/>
      <x:c r="O91" s="11"/>
    </x:row>
    <x:row r="92" ht="60" customHeight="1">
      <x:c r="A92" s="11"/>
      <x:c r="B92" s="11"/>
      <x:c r="C92" s="11"/>
      <x:c r="D92" s="11"/>
      <x:c r="E92" s="14"/>
      <x:c r="F92" s="15"/>
      <x:c r="G92" s="15"/>
      <x:c r="H92" s="11"/>
      <x:c r="I92" s="11"/>
      <x:c r="J92" s="11"/>
      <x:c r="K92" s="11"/>
      <x:c r="L92" s="11"/>
      <x:c r="M92" s="15"/>
      <x:c r="N92" s="14"/>
      <x:c r="O92" s="11"/>
    </x:row>
    <x:row r="93" ht="60" customHeight="1">
      <x:c r="A93" s="11"/>
      <x:c r="B93" s="11"/>
      <x:c r="C93" s="11"/>
      <x:c r="D93" s="11"/>
      <x:c r="E93" s="14"/>
      <x:c r="F93" s="15"/>
      <x:c r="G93" s="15"/>
      <x:c r="H93" s="11"/>
      <x:c r="I93" s="11"/>
      <x:c r="J93" s="11"/>
      <x:c r="K93" s="11"/>
      <x:c r="L93" s="11"/>
      <x:c r="M93" s="15"/>
      <x:c r="N93" s="14"/>
      <x:c r="O93" s="11"/>
    </x:row>
    <x:row r="94" ht="60" customHeight="1">
      <x:c r="A94" s="11"/>
      <x:c r="B94" s="11"/>
      <x:c r="C94" s="11"/>
      <x:c r="D94" s="11"/>
      <x:c r="E94" s="14"/>
      <x:c r="F94" s="15"/>
      <x:c r="G94" s="15"/>
      <x:c r="H94" s="11"/>
      <x:c r="I94" s="11"/>
      <x:c r="J94" s="11"/>
      <x:c r="K94" s="11"/>
      <x:c r="L94" s="11"/>
      <x:c r="M94" s="15"/>
      <x:c r="N94" s="14"/>
      <x:c r="O94" s="11"/>
    </x:row>
    <x:row r="95" ht="60" customHeight="1">
      <x:c r="A95" s="11"/>
      <x:c r="B95" s="11"/>
      <x:c r="C95" s="11"/>
      <x:c r="D95" s="11"/>
      <x:c r="E95" s="14"/>
      <x:c r="F95" s="15"/>
      <x:c r="G95" s="15"/>
      <x:c r="H95" s="11"/>
      <x:c r="I95" s="11"/>
      <x:c r="J95" s="11"/>
      <x:c r="K95" s="11"/>
      <x:c r="L95" s="11"/>
      <x:c r="M95" s="15"/>
      <x:c r="N95" s="14"/>
      <x:c r="O95" s="11"/>
    </x:row>
    <x:row r="96" ht="60" customHeight="1">
      <x:c r="A96" s="11"/>
      <x:c r="B96" s="11"/>
      <x:c r="C96" s="11"/>
      <x:c r="D96" s="11"/>
      <x:c r="E96" s="14"/>
      <x:c r="F96" s="15"/>
      <x:c r="G96" s="15"/>
      <x:c r="H96" s="11"/>
      <x:c r="I96" s="11"/>
      <x:c r="J96" s="11"/>
      <x:c r="K96" s="11"/>
      <x:c r="L96" s="11"/>
      <x:c r="M96" s="15"/>
      <x:c r="N96" s="14"/>
      <x:c r="O96" s="11"/>
    </x:row>
    <x:row r="97" ht="60" customHeight="1">
      <x:c r="A97" s="11"/>
      <x:c r="B97" s="11"/>
      <x:c r="C97" s="11"/>
      <x:c r="D97" s="11"/>
      <x:c r="E97" s="14"/>
      <x:c r="F97" s="15"/>
      <x:c r="G97" s="15"/>
      <x:c r="H97" s="11"/>
      <x:c r="I97" s="11"/>
      <x:c r="J97" s="11"/>
      <x:c r="K97" s="11"/>
      <x:c r="L97" s="11"/>
      <x:c r="M97" s="15"/>
      <x:c r="N97" s="14"/>
      <x:c r="O97" s="11"/>
    </x:row>
    <x:row r="98" ht="60" customHeight="1">
      <x:c r="A98" s="11"/>
      <x:c r="B98" s="11"/>
      <x:c r="C98" s="11"/>
      <x:c r="D98" s="11"/>
      <x:c r="E98" s="14"/>
      <x:c r="F98" s="15"/>
      <x:c r="G98" s="15"/>
      <x:c r="H98" s="11"/>
      <x:c r="I98" s="11"/>
      <x:c r="J98" s="11"/>
      <x:c r="K98" s="11"/>
      <x:c r="L98" s="11"/>
      <x:c r="M98" s="15"/>
      <x:c r="N98" s="14"/>
      <x:c r="O98" s="11"/>
    </x:row>
    <x:row r="99" ht="60" customHeight="1">
      <x:c r="A99" s="11"/>
      <x:c r="B99" s="11"/>
      <x:c r="C99" s="11"/>
      <x:c r="D99" s="11"/>
      <x:c r="E99" s="14"/>
      <x:c r="F99" s="15"/>
      <x:c r="G99" s="15"/>
      <x:c r="H99" s="11"/>
      <x:c r="I99" s="11"/>
      <x:c r="J99" s="11"/>
      <x:c r="K99" s="11"/>
      <x:c r="L99" s="11"/>
      <x:c r="M99" s="15"/>
      <x:c r="N99" s="14"/>
      <x:c r="O99" s="11"/>
    </x:row>
    <x:row r="100" ht="60" customHeight="1">
      <x:c r="A100" s="11"/>
      <x:c r="B100" s="11"/>
      <x:c r="C100" s="11"/>
      <x:c r="D100" s="11"/>
      <x:c r="E100" s="14"/>
      <x:c r="F100" s="15"/>
      <x:c r="G100" s="15"/>
      <x:c r="H100" s="11"/>
      <x:c r="I100" s="11"/>
      <x:c r="J100" s="11"/>
      <x:c r="K100" s="11"/>
      <x:c r="L100" s="11"/>
      <x:c r="M100" s="15"/>
      <x:c r="N100" s="14"/>
      <x:c r="O100" s="11"/>
    </x:row>
    <x:row r="101" ht="60" customHeight="1">
      <x:c r="A101" s="11"/>
      <x:c r="B101" s="11"/>
      <x:c r="C101" s="11"/>
      <x:c r="D101" s="11"/>
      <x:c r="E101" s="14"/>
      <x:c r="F101" s="15"/>
      <x:c r="G101" s="15"/>
      <x:c r="H101" s="11"/>
      <x:c r="I101" s="11"/>
      <x:c r="J101" s="11"/>
      <x:c r="K101" s="11"/>
      <x:c r="L101" s="11"/>
      <x:c r="M101" s="15"/>
      <x:c r="N101" s="14"/>
      <x:c r="O101" s="11"/>
    </x:row>
    <x:row r="102" ht="60" customHeight="1">
      <x:c r="A102" s="11"/>
      <x:c r="B102" s="11"/>
      <x:c r="C102" s="11"/>
      <x:c r="D102" s="11"/>
      <x:c r="E102" s="14"/>
      <x:c r="F102" s="15"/>
      <x:c r="G102" s="15"/>
      <x:c r="H102" s="11"/>
      <x:c r="I102" s="11"/>
      <x:c r="J102" s="11"/>
      <x:c r="K102" s="11"/>
      <x:c r="L102" s="11"/>
      <x:c r="M102" s="15"/>
      <x:c r="N102" s="14"/>
      <x:c r="O102" s="11"/>
    </x:row>
    <x:row r="103" ht="60" customHeight="1">
      <x:c r="A103" s="11"/>
      <x:c r="B103" s="11"/>
      <x:c r="C103" s="11"/>
      <x:c r="D103" s="11"/>
      <x:c r="E103" s="14"/>
      <x:c r="F103" s="15"/>
      <x:c r="G103" s="15"/>
      <x:c r="H103" s="11"/>
      <x:c r="I103" s="11"/>
      <x:c r="J103" s="11"/>
      <x:c r="K103" s="11"/>
      <x:c r="L103" s="11"/>
      <x:c r="M103" s="15"/>
      <x:c r="N103" s="14"/>
      <x:c r="O103" s="11"/>
    </x:row>
    <x:row r="104" ht="60" customHeight="1">
      <x:c r="A104" s="11"/>
      <x:c r="B104" s="11"/>
      <x:c r="C104" s="11"/>
      <x:c r="D104" s="11"/>
      <x:c r="E104" s="14"/>
      <x:c r="F104" s="15"/>
      <x:c r="G104" s="15"/>
      <x:c r="H104" s="11"/>
      <x:c r="I104" s="11"/>
      <x:c r="J104" s="11"/>
      <x:c r="K104" s="11"/>
      <x:c r="L104" s="11"/>
      <x:c r="M104" s="15"/>
      <x:c r="N104" s="14"/>
      <x:c r="O104" s="11"/>
    </x:row>
    <x:row r="105" ht="60" customHeight="1">
      <x:c r="A105" s="11"/>
      <x:c r="B105" s="11"/>
      <x:c r="C105" s="11"/>
      <x:c r="D105" s="11"/>
      <x:c r="E105" s="14"/>
      <x:c r="F105" s="15"/>
      <x:c r="G105" s="15"/>
      <x:c r="H105" s="11"/>
      <x:c r="I105" s="11"/>
      <x:c r="J105" s="11"/>
      <x:c r="K105" s="11"/>
      <x:c r="L105" s="11"/>
      <x:c r="M105" s="15"/>
      <x:c r="N105" s="14"/>
      <x:c r="O105" s="11"/>
    </x:row>
    <x:row r="106" ht="60" customHeight="1">
      <x:c r="A106" s="11"/>
      <x:c r="B106" s="11"/>
      <x:c r="C106" s="11"/>
      <x:c r="D106" s="11"/>
      <x:c r="E106" s="14"/>
      <x:c r="F106" s="15"/>
      <x:c r="G106" s="15"/>
      <x:c r="H106" s="11"/>
      <x:c r="I106" s="11"/>
      <x:c r="J106" s="11"/>
      <x:c r="K106" s="11"/>
      <x:c r="L106" s="11"/>
      <x:c r="M106" s="15"/>
      <x:c r="N106" s="14"/>
      <x:c r="O106" s="11"/>
    </x:row>
    <x:row r="107" ht="60" customHeight="1">
      <x:c r="A107" s="11"/>
      <x:c r="B107" s="11"/>
      <x:c r="C107" s="11"/>
      <x:c r="D107" s="11"/>
      <x:c r="E107" s="14"/>
      <x:c r="F107" s="15"/>
      <x:c r="G107" s="15"/>
      <x:c r="H107" s="11"/>
      <x:c r="I107" s="11"/>
      <x:c r="J107" s="11"/>
      <x:c r="K107" s="11"/>
      <x:c r="L107" s="11"/>
      <x:c r="M107" s="15"/>
      <x:c r="N107" s="14"/>
      <x:c r="O107" s="11"/>
    </x:row>
    <x:row r="108" ht="60" customHeight="1">
      <x:c r="A108" s="11"/>
      <x:c r="B108" s="11"/>
      <x:c r="C108" s="11"/>
      <x:c r="D108" s="11"/>
      <x:c r="E108" s="14"/>
      <x:c r="F108" s="15"/>
      <x:c r="G108" s="15"/>
      <x:c r="H108" s="11"/>
      <x:c r="I108" s="11"/>
      <x:c r="J108" s="11"/>
      <x:c r="K108" s="11"/>
      <x:c r="L108" s="11"/>
      <x:c r="M108" s="15"/>
      <x:c r="N108" s="14"/>
      <x:c r="O108" s="11"/>
    </x:row>
    <x:row r="109" ht="60" customHeight="1">
      <x:c r="A109" s="11"/>
      <x:c r="B109" s="11"/>
      <x:c r="C109" s="11"/>
      <x:c r="D109" s="11"/>
      <x:c r="E109" s="14"/>
      <x:c r="F109" s="15"/>
      <x:c r="G109" s="15"/>
      <x:c r="H109" s="11"/>
      <x:c r="I109" s="11"/>
      <x:c r="J109" s="11"/>
      <x:c r="K109" s="11"/>
      <x:c r="L109" s="11"/>
      <x:c r="M109" s="15"/>
      <x:c r="N109" s="14"/>
      <x:c r="O109" s="11"/>
    </x:row>
    <x:row r="110" ht="60" customHeight="1">
      <x:c r="A110" s="11"/>
      <x:c r="B110" s="11"/>
      <x:c r="C110" s="11"/>
      <x:c r="D110" s="11"/>
      <x:c r="E110" s="14"/>
      <x:c r="F110" s="15"/>
      <x:c r="G110" s="15"/>
      <x:c r="H110" s="11"/>
      <x:c r="I110" s="11"/>
      <x:c r="J110" s="11"/>
      <x:c r="K110" s="11"/>
      <x:c r="L110" s="11"/>
      <x:c r="M110" s="15"/>
      <x:c r="N110" s="14"/>
      <x:c r="O110" s="11"/>
    </x:row>
    <x:row r="111" ht="60" customHeight="1">
      <x:c r="A111" s="11"/>
      <x:c r="B111" s="11"/>
      <x:c r="C111" s="11"/>
      <x:c r="D111" s="11"/>
      <x:c r="E111" s="14"/>
      <x:c r="F111" s="15"/>
      <x:c r="G111" s="15"/>
      <x:c r="H111" s="11"/>
      <x:c r="I111" s="11"/>
      <x:c r="J111" s="11"/>
      <x:c r="K111" s="11"/>
      <x:c r="L111" s="11"/>
      <x:c r="M111" s="15"/>
      <x:c r="N111" s="14"/>
      <x:c r="O111" s="11"/>
    </x:row>
    <x:row r="112" ht="60" customHeight="1">
      <x:c r="A112" s="11"/>
      <x:c r="B112" s="11"/>
      <x:c r="C112" s="11"/>
      <x:c r="D112" s="11"/>
      <x:c r="E112" s="14"/>
      <x:c r="F112" s="15"/>
      <x:c r="G112" s="15"/>
      <x:c r="H112" s="11"/>
      <x:c r="I112" s="11"/>
      <x:c r="J112" s="11"/>
      <x:c r="K112" s="11"/>
      <x:c r="L112" s="11"/>
      <x:c r="M112" s="15"/>
      <x:c r="N112" s="14"/>
      <x:c r="O112" s="11"/>
    </x:row>
    <x:row r="113" ht="60" customHeight="1">
      <x:c r="A113" s="11"/>
      <x:c r="B113" s="11"/>
      <x:c r="C113" s="11"/>
      <x:c r="D113" s="11"/>
      <x:c r="E113" s="14"/>
      <x:c r="F113" s="15"/>
      <x:c r="G113" s="15"/>
      <x:c r="H113" s="11"/>
      <x:c r="I113" s="11"/>
      <x:c r="J113" s="11"/>
      <x:c r="K113" s="11"/>
      <x:c r="L113" s="11"/>
      <x:c r="M113" s="15"/>
      <x:c r="N113" s="14"/>
      <x:c r="O113" s="11"/>
    </x:row>
    <x:row r="114" ht="60" customHeight="1">
      <x:c r="A114" s="11"/>
      <x:c r="B114" s="11"/>
      <x:c r="C114" s="11"/>
      <x:c r="D114" s="11"/>
      <x:c r="E114" s="14"/>
      <x:c r="F114" s="15"/>
      <x:c r="G114" s="15"/>
      <x:c r="H114" s="11"/>
      <x:c r="I114" s="11"/>
      <x:c r="J114" s="11"/>
      <x:c r="K114" s="11"/>
      <x:c r="L114" s="11"/>
      <x:c r="M114" s="15"/>
      <x:c r="N114" s="14"/>
      <x:c r="O114" s="11"/>
    </x:row>
    <x:row r="115" ht="60" customHeight="1">
      <x:c r="A115" s="11"/>
      <x:c r="B115" s="11"/>
      <x:c r="C115" s="11"/>
      <x:c r="D115" s="11"/>
      <x:c r="E115" s="14"/>
      <x:c r="F115" s="15"/>
      <x:c r="G115" s="15"/>
      <x:c r="H115" s="11"/>
      <x:c r="I115" s="11"/>
      <x:c r="J115" s="11"/>
      <x:c r="K115" s="11"/>
      <x:c r="L115" s="11"/>
      <x:c r="M115" s="15"/>
      <x:c r="N115" s="14"/>
      <x:c r="O115" s="11"/>
    </x:row>
    <x:row r="116" ht="60" customHeight="1">
      <x:c r="A116" s="11"/>
      <x:c r="B116" s="11"/>
      <x:c r="C116" s="11"/>
      <x:c r="D116" s="11"/>
      <x:c r="E116" s="14"/>
      <x:c r="F116" s="15"/>
      <x:c r="G116" s="15"/>
      <x:c r="H116" s="11"/>
      <x:c r="I116" s="11"/>
      <x:c r="J116" s="11"/>
      <x:c r="K116" s="11"/>
      <x:c r="L116" s="11"/>
      <x:c r="M116" s="15"/>
      <x:c r="N116" s="14"/>
      <x:c r="O116" s="11"/>
    </x:row>
    <x:row r="117" ht="60" customHeight="1">
      <x:c r="A117" s="11"/>
      <x:c r="B117" s="11"/>
      <x:c r="C117" s="11"/>
      <x:c r="D117" s="11"/>
      <x:c r="E117" s="14"/>
      <x:c r="F117" s="15"/>
      <x:c r="G117" s="15"/>
      <x:c r="H117" s="11"/>
      <x:c r="I117" s="11"/>
      <x:c r="J117" s="11"/>
      <x:c r="K117" s="11"/>
      <x:c r="L117" s="11"/>
      <x:c r="M117" s="15"/>
      <x:c r="N117" s="14"/>
      <x:c r="O117" s="11"/>
    </x:row>
    <x:row r="118" ht="60" customHeight="1">
      <x:c r="A118" s="11"/>
      <x:c r="B118" s="11"/>
      <x:c r="C118" s="11"/>
      <x:c r="D118" s="11"/>
      <x:c r="E118" s="14"/>
      <x:c r="F118" s="15"/>
      <x:c r="G118" s="15"/>
      <x:c r="H118" s="11"/>
      <x:c r="I118" s="11"/>
      <x:c r="J118" s="11"/>
      <x:c r="K118" s="11"/>
      <x:c r="L118" s="11"/>
      <x:c r="M118" s="15"/>
      <x:c r="N118" s="14"/>
      <x:c r="O118" s="11"/>
    </x:row>
    <x:row r="119" ht="60" customHeight="1">
      <x:c r="A119" s="11"/>
      <x:c r="B119" s="11"/>
      <x:c r="C119" s="11"/>
      <x:c r="D119" s="11"/>
      <x:c r="E119" s="14"/>
      <x:c r="F119" s="15"/>
      <x:c r="G119" s="15"/>
      <x:c r="H119" s="11"/>
      <x:c r="I119" s="11"/>
      <x:c r="J119" s="11"/>
      <x:c r="K119" s="11"/>
      <x:c r="L119" s="11"/>
      <x:c r="M119" s="15"/>
      <x:c r="N119" s="14"/>
      <x:c r="O119" s="11"/>
    </x:row>
    <x:row r="120" ht="60" customHeight="1">
      <x:c r="A120" s="11"/>
      <x:c r="B120" s="11"/>
      <x:c r="C120" s="11"/>
      <x:c r="D120" s="11"/>
      <x:c r="E120" s="14"/>
      <x:c r="F120" s="15"/>
      <x:c r="G120" s="15"/>
      <x:c r="H120" s="11"/>
      <x:c r="I120" s="11"/>
      <x:c r="J120" s="11"/>
      <x:c r="K120" s="11"/>
      <x:c r="L120" s="11"/>
      <x:c r="M120" s="15"/>
      <x:c r="N120" s="14"/>
      <x:c r="O120" s="11"/>
    </x:row>
    <x:row r="121" ht="60" customHeight="1">
      <x:c r="A121" s="11"/>
      <x:c r="B121" s="11"/>
      <x:c r="C121" s="11"/>
      <x:c r="D121" s="11"/>
      <x:c r="E121" s="14"/>
      <x:c r="F121" s="15"/>
      <x:c r="G121" s="15"/>
      <x:c r="H121" s="11"/>
      <x:c r="I121" s="11"/>
      <x:c r="J121" s="11"/>
      <x:c r="K121" s="11"/>
      <x:c r="L121" s="11"/>
      <x:c r="M121" s="15"/>
      <x:c r="N121" s="14"/>
      <x:c r="O121" s="11"/>
    </x:row>
    <x:row r="122" ht="60" customHeight="1">
      <x:c r="A122" s="11"/>
      <x:c r="B122" s="11"/>
      <x:c r="C122" s="11"/>
      <x:c r="D122" s="11"/>
      <x:c r="E122" s="14"/>
      <x:c r="F122" s="15"/>
      <x:c r="G122" s="15"/>
      <x:c r="H122" s="11"/>
      <x:c r="I122" s="11"/>
      <x:c r="J122" s="11"/>
      <x:c r="K122" s="11"/>
      <x:c r="L122" s="11"/>
      <x:c r="M122" s="15"/>
      <x:c r="N122" s="14"/>
      <x:c r="O122" s="11"/>
    </x:row>
    <x:row r="123" ht="60" customHeight="1">
      <x:c r="A123" s="11"/>
      <x:c r="B123" s="11"/>
      <x:c r="C123" s="11"/>
      <x:c r="D123" s="11"/>
      <x:c r="E123" s="14"/>
      <x:c r="F123" s="15"/>
      <x:c r="G123" s="15"/>
      <x:c r="H123" s="11"/>
      <x:c r="I123" s="11"/>
      <x:c r="J123" s="11"/>
      <x:c r="K123" s="11"/>
      <x:c r="L123" s="11"/>
      <x:c r="M123" s="15"/>
      <x:c r="N123" s="14"/>
      <x:c r="O123" s="11"/>
    </x:row>
    <x:row r="124" ht="60" customHeight="1">
      <x:c r="A124" s="11"/>
      <x:c r="B124" s="11"/>
      <x:c r="C124" s="11"/>
      <x:c r="D124" s="11"/>
      <x:c r="E124" s="14"/>
      <x:c r="F124" s="15"/>
      <x:c r="G124" s="15"/>
      <x:c r="H124" s="11"/>
      <x:c r="I124" s="11"/>
      <x:c r="J124" s="11"/>
      <x:c r="K124" s="11"/>
      <x:c r="L124" s="11"/>
      <x:c r="M124" s="15"/>
      <x:c r="N124" s="14"/>
      <x:c r="O124" s="11"/>
    </x:row>
    <x:row r="125" ht="60" customHeight="1">
      <x:c r="A125" s="11"/>
      <x:c r="B125" s="11"/>
      <x:c r="C125" s="11"/>
      <x:c r="D125" s="11"/>
      <x:c r="E125" s="14"/>
      <x:c r="F125" s="15"/>
      <x:c r="G125" s="15"/>
      <x:c r="H125" s="11"/>
      <x:c r="I125" s="11"/>
      <x:c r="J125" s="11"/>
      <x:c r="K125" s="11"/>
      <x:c r="L125" s="11"/>
      <x:c r="M125" s="15"/>
      <x:c r="N125" s="14"/>
      <x:c r="O125" s="11"/>
    </x:row>
    <x:row r="126" ht="60" customHeight="1">
      <x:c r="A126" s="11"/>
      <x:c r="B126" s="11"/>
      <x:c r="C126" s="11"/>
      <x:c r="D126" s="11"/>
      <x:c r="E126" s="14"/>
      <x:c r="F126" s="15"/>
      <x:c r="G126" s="15"/>
      <x:c r="H126" s="11"/>
      <x:c r="I126" s="11"/>
      <x:c r="J126" s="11"/>
      <x:c r="K126" s="11"/>
      <x:c r="L126" s="11"/>
      <x:c r="M126" s="15"/>
      <x:c r="N126" s="14"/>
      <x:c r="O126" s="11"/>
    </x:row>
    <x:row r="127" ht="60" customHeight="1">
      <x:c r="A127" s="11"/>
      <x:c r="B127" s="11"/>
      <x:c r="C127" s="11"/>
      <x:c r="D127" s="11"/>
      <x:c r="E127" s="14"/>
      <x:c r="F127" s="15"/>
      <x:c r="G127" s="15"/>
      <x:c r="H127" s="11"/>
      <x:c r="I127" s="11"/>
      <x:c r="J127" s="11"/>
      <x:c r="K127" s="11"/>
      <x:c r="L127" s="11"/>
      <x:c r="M127" s="15"/>
      <x:c r="N127" s="14"/>
      <x:c r="O127" s="11"/>
    </x:row>
    <x:row r="128" ht="60" customHeight="1">
      <x:c r="A128" s="11"/>
      <x:c r="B128" s="11"/>
      <x:c r="C128" s="11"/>
      <x:c r="D128" s="11"/>
      <x:c r="E128" s="14"/>
      <x:c r="F128" s="15"/>
      <x:c r="G128" s="15"/>
      <x:c r="H128" s="11"/>
      <x:c r="I128" s="11"/>
      <x:c r="J128" s="11"/>
      <x:c r="K128" s="11"/>
      <x:c r="L128" s="11"/>
      <x:c r="M128" s="15"/>
      <x:c r="N128" s="14"/>
      <x:c r="O128" s="11"/>
    </x:row>
    <x:row r="129" ht="60" customHeight="1">
      <x:c r="A129" s="11"/>
      <x:c r="B129" s="11"/>
      <x:c r="C129" s="11"/>
      <x:c r="D129" s="11"/>
      <x:c r="E129" s="14"/>
      <x:c r="F129" s="15"/>
      <x:c r="G129" s="15"/>
      <x:c r="H129" s="11"/>
      <x:c r="I129" s="11"/>
      <x:c r="J129" s="11"/>
      <x:c r="K129" s="11"/>
      <x:c r="L129" s="11"/>
      <x:c r="M129" s="15"/>
      <x:c r="N129" s="14"/>
      <x:c r="O129" s="11"/>
    </x:row>
    <x:row r="130" ht="60" customHeight="1">
      <x:c r="A130" s="11"/>
      <x:c r="B130" s="11"/>
      <x:c r="C130" s="11"/>
      <x:c r="D130" s="11"/>
      <x:c r="E130" s="14"/>
      <x:c r="F130" s="15"/>
      <x:c r="G130" s="15"/>
      <x:c r="H130" s="11"/>
      <x:c r="I130" s="11"/>
      <x:c r="J130" s="11"/>
      <x:c r="K130" s="11"/>
      <x:c r="L130" s="11"/>
      <x:c r="M130" s="15"/>
      <x:c r="N130" s="14"/>
      <x:c r="O130" s="11"/>
    </x:row>
    <x:row r="131" ht="60" customHeight="1">
      <x:c r="A131" s="11"/>
      <x:c r="B131" s="11"/>
      <x:c r="C131" s="11"/>
      <x:c r="D131" s="11"/>
      <x:c r="E131" s="14"/>
      <x:c r="F131" s="15"/>
      <x:c r="G131" s="15"/>
      <x:c r="H131" s="11"/>
      <x:c r="I131" s="11"/>
      <x:c r="J131" s="11"/>
      <x:c r="K131" s="11"/>
      <x:c r="L131" s="11"/>
      <x:c r="M131" s="15"/>
      <x:c r="N131" s="14"/>
      <x:c r="O131" s="11"/>
    </x:row>
    <x:row r="132" ht="60" customHeight="1">
      <x:c r="A132" s="11"/>
      <x:c r="B132" s="11"/>
      <x:c r="C132" s="11"/>
      <x:c r="D132" s="11"/>
      <x:c r="E132" s="14"/>
      <x:c r="F132" s="15"/>
      <x:c r="G132" s="15"/>
      <x:c r="H132" s="11"/>
      <x:c r="I132" s="11"/>
      <x:c r="J132" s="11"/>
      <x:c r="K132" s="11"/>
      <x:c r="L132" s="11"/>
      <x:c r="M132" s="15"/>
      <x:c r="N132" s="14"/>
      <x:c r="O132" s="11"/>
    </x:row>
    <x:row r="133" ht="60" customHeight="1">
      <x:c r="A133" s="11"/>
      <x:c r="B133" s="11"/>
      <x:c r="C133" s="11"/>
      <x:c r="D133" s="11"/>
      <x:c r="E133" s="14"/>
      <x:c r="F133" s="15"/>
      <x:c r="G133" s="15"/>
      <x:c r="H133" s="11"/>
      <x:c r="I133" s="11"/>
      <x:c r="J133" s="11"/>
      <x:c r="K133" s="11"/>
      <x:c r="L133" s="11"/>
      <x:c r="M133" s="15"/>
      <x:c r="N133" s="14"/>
      <x:c r="O133" s="11"/>
    </x:row>
    <x:row r="134" ht="60" customHeight="1">
      <x:c r="A134" s="11"/>
      <x:c r="B134" s="11"/>
      <x:c r="C134" s="11"/>
      <x:c r="D134" s="11"/>
      <x:c r="E134" s="14"/>
      <x:c r="F134" s="15"/>
      <x:c r="G134" s="15"/>
      <x:c r="H134" s="11"/>
      <x:c r="I134" s="11"/>
      <x:c r="J134" s="11"/>
      <x:c r="K134" s="11"/>
      <x:c r="L134" s="11"/>
      <x:c r="M134" s="15"/>
      <x:c r="N134" s="14"/>
      <x:c r="O134" s="11"/>
    </x:row>
    <x:row r="135" ht="60" customHeight="1">
      <x:c r="A135" s="11"/>
      <x:c r="B135" s="11"/>
      <x:c r="C135" s="11"/>
      <x:c r="D135" s="11"/>
      <x:c r="E135" s="14"/>
      <x:c r="F135" s="15"/>
      <x:c r="G135" s="15"/>
      <x:c r="H135" s="11"/>
      <x:c r="I135" s="11"/>
      <x:c r="J135" s="11"/>
      <x:c r="K135" s="11"/>
      <x:c r="L135" s="11"/>
      <x:c r="M135" s="15"/>
      <x:c r="N135" s="14"/>
      <x:c r="O135" s="11"/>
    </x:row>
    <x:row r="136" ht="60" customHeight="1">
      <x:c r="A136" s="11"/>
      <x:c r="B136" s="11"/>
      <x:c r="C136" s="11"/>
      <x:c r="D136" s="11"/>
      <x:c r="E136" s="14"/>
      <x:c r="F136" s="15"/>
      <x:c r="G136" s="15"/>
      <x:c r="H136" s="11"/>
      <x:c r="I136" s="11"/>
      <x:c r="J136" s="11"/>
      <x:c r="K136" s="11"/>
      <x:c r="L136" s="11"/>
      <x:c r="M136" s="15"/>
      <x:c r="N136" s="14"/>
      <x:c r="O136" s="11"/>
    </x:row>
    <x:row r="137" ht="60" customHeight="1">
      <x:c r="A137" s="11"/>
      <x:c r="B137" s="11"/>
      <x:c r="C137" s="11"/>
      <x:c r="D137" s="11"/>
      <x:c r="E137" s="14"/>
      <x:c r="F137" s="15"/>
      <x:c r="G137" s="15"/>
      <x:c r="H137" s="11"/>
      <x:c r="I137" s="11"/>
      <x:c r="J137" s="11"/>
      <x:c r="K137" s="11"/>
      <x:c r="L137" s="11"/>
      <x:c r="M137" s="15"/>
      <x:c r="N137" s="14"/>
      <x:c r="O137" s="11"/>
    </x:row>
    <x:row r="138" ht="60" customHeight="1">
      <x:c r="A138" s="11"/>
      <x:c r="B138" s="11"/>
      <x:c r="C138" s="11"/>
      <x:c r="D138" s="11"/>
      <x:c r="E138" s="14"/>
      <x:c r="F138" s="15"/>
      <x:c r="G138" s="15"/>
      <x:c r="H138" s="11"/>
      <x:c r="I138" s="11"/>
      <x:c r="J138" s="11"/>
      <x:c r="K138" s="11"/>
      <x:c r="L138" s="11"/>
      <x:c r="M138" s="15"/>
      <x:c r="N138" s="14"/>
      <x:c r="O138" s="11"/>
    </x:row>
    <x:row r="139" ht="60" customHeight="1">
      <x:c r="A139" s="11"/>
      <x:c r="B139" s="11"/>
      <x:c r="C139" s="11"/>
      <x:c r="D139" s="11"/>
      <x:c r="E139" s="14"/>
      <x:c r="F139" s="15"/>
      <x:c r="G139" s="15"/>
      <x:c r="H139" s="11"/>
      <x:c r="I139" s="11"/>
      <x:c r="J139" s="11"/>
      <x:c r="K139" s="11"/>
      <x:c r="L139" s="11"/>
      <x:c r="M139" s="15"/>
      <x:c r="N139" s="14"/>
      <x:c r="O139" s="11"/>
    </x:row>
    <x:row r="140" ht="60" customHeight="1">
      <x:c r="A140" s="11"/>
      <x:c r="B140" s="11"/>
      <x:c r="C140" s="11"/>
      <x:c r="D140" s="11"/>
      <x:c r="E140" s="14"/>
      <x:c r="F140" s="15"/>
      <x:c r="G140" s="15"/>
      <x:c r="H140" s="11"/>
      <x:c r="I140" s="11"/>
      <x:c r="J140" s="11"/>
      <x:c r="K140" s="11"/>
      <x:c r="L140" s="11"/>
      <x:c r="M140" s="15"/>
      <x:c r="N140" s="14"/>
      <x:c r="O140" s="11"/>
    </x:row>
    <x:row r="141" ht="60" customHeight="1">
      <x:c r="A141" s="11"/>
      <x:c r="B141" s="11"/>
      <x:c r="C141" s="11"/>
      <x:c r="D141" s="11"/>
      <x:c r="E141" s="14"/>
      <x:c r="F141" s="15"/>
      <x:c r="G141" s="15"/>
      <x:c r="H141" s="11"/>
      <x:c r="I141" s="11"/>
      <x:c r="J141" s="11"/>
      <x:c r="K141" s="11"/>
      <x:c r="L141" s="11"/>
      <x:c r="M141" s="15"/>
      <x:c r="N141" s="14"/>
      <x:c r="O141" s="11"/>
    </x:row>
    <x:row r="142" ht="60" customHeight="1">
      <x:c r="A142" s="11"/>
      <x:c r="B142" s="11"/>
      <x:c r="C142" s="11"/>
      <x:c r="D142" s="11"/>
      <x:c r="E142" s="14"/>
      <x:c r="F142" s="15"/>
      <x:c r="G142" s="15"/>
      <x:c r="H142" s="11"/>
      <x:c r="I142" s="11"/>
      <x:c r="J142" s="11"/>
      <x:c r="K142" s="11"/>
      <x:c r="L142" s="11"/>
      <x:c r="M142" s="15"/>
      <x:c r="N142" s="14"/>
      <x:c r="O142" s="11"/>
    </x:row>
    <x:row r="143" ht="60" customHeight="1">
      <x:c r="A143" s="11"/>
      <x:c r="B143" s="11"/>
      <x:c r="C143" s="11"/>
      <x:c r="D143" s="11"/>
      <x:c r="E143" s="14"/>
      <x:c r="F143" s="15"/>
      <x:c r="G143" s="15"/>
      <x:c r="H143" s="11"/>
      <x:c r="I143" s="11"/>
      <x:c r="J143" s="11"/>
      <x:c r="K143" s="11"/>
      <x:c r="L143" s="11"/>
      <x:c r="M143" s="15"/>
      <x:c r="N143" s="14"/>
      <x:c r="O143" s="11"/>
    </x:row>
    <x:row r="144" ht="60" customHeight="1">
      <x:c r="A144" s="11"/>
      <x:c r="B144" s="11"/>
      <x:c r="C144" s="11"/>
      <x:c r="D144" s="11"/>
      <x:c r="E144" s="14"/>
      <x:c r="F144" s="15"/>
      <x:c r="G144" s="15"/>
      <x:c r="H144" s="11"/>
      <x:c r="I144" s="11"/>
      <x:c r="J144" s="11"/>
      <x:c r="K144" s="11"/>
      <x:c r="L144" s="11"/>
      <x:c r="M144" s="15"/>
      <x:c r="N144" s="14"/>
      <x:c r="O144" s="11"/>
    </x:row>
    <x:row r="145" ht="60" customHeight="1">
      <x:c r="A145" s="11"/>
      <x:c r="B145" s="11"/>
      <x:c r="C145" s="11"/>
      <x:c r="D145" s="11"/>
      <x:c r="E145" s="14"/>
      <x:c r="F145" s="15"/>
      <x:c r="G145" s="15"/>
      <x:c r="H145" s="11"/>
      <x:c r="I145" s="11"/>
      <x:c r="J145" s="11"/>
      <x:c r="K145" s="11"/>
      <x:c r="L145" s="11"/>
      <x:c r="M145" s="15"/>
      <x:c r="N145" s="14"/>
      <x:c r="O145" s="11"/>
    </x:row>
    <x:row r="146" ht="60" customHeight="1">
      <x:c r="A146" s="11"/>
      <x:c r="B146" s="11"/>
      <x:c r="C146" s="11"/>
      <x:c r="D146" s="11"/>
      <x:c r="E146" s="14"/>
      <x:c r="F146" s="15"/>
      <x:c r="G146" s="15"/>
      <x:c r="H146" s="11"/>
      <x:c r="I146" s="11"/>
      <x:c r="J146" s="11"/>
      <x:c r="K146" s="11"/>
      <x:c r="L146" s="11"/>
      <x:c r="M146" s="15"/>
      <x:c r="N146" s="14"/>
      <x:c r="O146" s="11"/>
    </x:row>
    <x:row r="147" ht="60" customHeight="1">
      <x:c r="A147" s="11"/>
      <x:c r="B147" s="11"/>
      <x:c r="C147" s="11"/>
      <x:c r="D147" s="11"/>
      <x:c r="E147" s="14"/>
      <x:c r="F147" s="15"/>
      <x:c r="G147" s="15"/>
      <x:c r="H147" s="11"/>
      <x:c r="I147" s="11"/>
      <x:c r="J147" s="11"/>
      <x:c r="K147" s="11"/>
      <x:c r="L147" s="11"/>
      <x:c r="M147" s="15"/>
      <x:c r="N147" s="14"/>
      <x:c r="O147" s="11"/>
    </x:row>
    <x:row r="148" ht="60" customHeight="1">
      <x:c r="A148" s="11"/>
      <x:c r="B148" s="11"/>
      <x:c r="C148" s="11"/>
      <x:c r="D148" s="11"/>
      <x:c r="E148" s="14"/>
      <x:c r="F148" s="15"/>
      <x:c r="G148" s="15"/>
      <x:c r="H148" s="11"/>
      <x:c r="I148" s="11"/>
      <x:c r="J148" s="11"/>
      <x:c r="K148" s="11"/>
      <x:c r="L148" s="11"/>
      <x:c r="M148" s="15"/>
      <x:c r="N148" s="14"/>
      <x:c r="O148" s="11"/>
    </x:row>
    <x:row r="149" ht="60" customHeight="1">
      <x:c r="A149" s="11"/>
      <x:c r="B149" s="11"/>
      <x:c r="C149" s="11"/>
      <x:c r="D149" s="11"/>
      <x:c r="E149" s="14"/>
      <x:c r="F149" s="15"/>
      <x:c r="G149" s="15"/>
      <x:c r="H149" s="11"/>
      <x:c r="I149" s="11"/>
      <x:c r="J149" s="11"/>
      <x:c r="K149" s="11"/>
      <x:c r="L149" s="11"/>
      <x:c r="M149" s="15"/>
      <x:c r="N149" s="14"/>
      <x:c r="O149" s="11"/>
    </x:row>
    <x:row r="150" ht="60" customHeight="1">
      <x:c r="A150" s="11"/>
      <x:c r="B150" s="11"/>
      <x:c r="C150" s="11"/>
      <x:c r="D150" s="11"/>
      <x:c r="E150" s="14"/>
      <x:c r="F150" s="15"/>
      <x:c r="G150" s="15"/>
      <x:c r="H150" s="11"/>
      <x:c r="I150" s="11"/>
      <x:c r="J150" s="11"/>
      <x:c r="K150" s="11"/>
      <x:c r="L150" s="11"/>
      <x:c r="M150" s="15"/>
      <x:c r="N150" s="14"/>
      <x:c r="O150" s="11"/>
    </x:row>
    <x:row r="151" ht="60" customHeight="1">
      <x:c r="A151" s="11"/>
      <x:c r="B151" s="11"/>
      <x:c r="C151" s="11"/>
      <x:c r="D151" s="11"/>
      <x:c r="E151" s="14"/>
      <x:c r="F151" s="15"/>
      <x:c r="G151" s="15"/>
      <x:c r="H151" s="11"/>
      <x:c r="I151" s="11"/>
      <x:c r="J151" s="11"/>
      <x:c r="K151" s="11"/>
      <x:c r="L151" s="11"/>
      <x:c r="M151" s="15"/>
      <x:c r="N151" s="14"/>
      <x:c r="O151" s="11"/>
    </x:row>
    <x:row r="152" ht="60" customHeight="1">
      <x:c r="A152" s="11"/>
      <x:c r="B152" s="11"/>
      <x:c r="C152" s="11"/>
      <x:c r="D152" s="11"/>
      <x:c r="E152" s="14"/>
      <x:c r="F152" s="15"/>
      <x:c r="G152" s="15"/>
      <x:c r="H152" s="11"/>
      <x:c r="I152" s="11"/>
      <x:c r="J152" s="11"/>
      <x:c r="K152" s="11"/>
      <x:c r="L152" s="11"/>
      <x:c r="M152" s="15"/>
      <x:c r="N152" s="14"/>
      <x:c r="O152" s="11"/>
    </x:row>
    <x:row r="153" ht="60" customHeight="1">
      <x:c r="A153" s="11"/>
      <x:c r="B153" s="11"/>
      <x:c r="C153" s="11"/>
      <x:c r="D153" s="11"/>
      <x:c r="E153" s="14"/>
      <x:c r="F153" s="15"/>
      <x:c r="G153" s="15"/>
      <x:c r="H153" s="11"/>
      <x:c r="I153" s="11"/>
      <x:c r="J153" s="11"/>
      <x:c r="K153" s="11"/>
      <x:c r="L153" s="11"/>
      <x:c r="M153" s="15"/>
      <x:c r="N153" s="14"/>
      <x:c r="O153" s="11"/>
    </x:row>
    <x:row r="154" ht="60" customHeight="1">
      <x:c r="A154" s="11"/>
      <x:c r="B154" s="11"/>
      <x:c r="C154" s="11"/>
      <x:c r="D154" s="11"/>
      <x:c r="E154" s="14"/>
      <x:c r="F154" s="15"/>
      <x:c r="G154" s="15"/>
      <x:c r="H154" s="11"/>
      <x:c r="I154" s="11"/>
      <x:c r="J154" s="11"/>
      <x:c r="K154" s="11"/>
      <x:c r="L154" s="11"/>
      <x:c r="M154" s="15"/>
      <x:c r="N154" s="14"/>
      <x:c r="O154" s="11"/>
    </x:row>
    <x:row r="155" ht="60" customHeight="1">
      <x:c r="A155" s="11"/>
      <x:c r="B155" s="11"/>
      <x:c r="C155" s="11"/>
      <x:c r="D155" s="11"/>
      <x:c r="E155" s="14"/>
      <x:c r="F155" s="15"/>
      <x:c r="G155" s="15"/>
      <x:c r="H155" s="11"/>
      <x:c r="I155" s="11"/>
      <x:c r="J155" s="11"/>
      <x:c r="K155" s="11"/>
      <x:c r="L155" s="11"/>
      <x:c r="M155" s="15"/>
      <x:c r="N155" s="14"/>
      <x:c r="O155" s="11"/>
    </x:row>
    <x:row r="156" ht="60" customHeight="1">
      <x:c r="A156" s="11"/>
      <x:c r="B156" s="11"/>
      <x:c r="C156" s="11"/>
      <x:c r="D156" s="11"/>
      <x:c r="E156" s="14"/>
      <x:c r="F156" s="15"/>
      <x:c r="G156" s="15"/>
      <x:c r="H156" s="11"/>
      <x:c r="I156" s="11"/>
      <x:c r="J156" s="11"/>
      <x:c r="K156" s="11"/>
      <x:c r="L156" s="11"/>
      <x:c r="M156" s="15"/>
      <x:c r="N156" s="14"/>
      <x:c r="O156" s="11"/>
    </x:row>
    <x:row r="157" ht="60" customHeight="1">
      <x:c r="A157" s="11"/>
      <x:c r="B157" s="11"/>
      <x:c r="C157" s="11"/>
      <x:c r="D157" s="11"/>
      <x:c r="E157" s="14"/>
      <x:c r="F157" s="15"/>
      <x:c r="G157" s="15"/>
      <x:c r="H157" s="11"/>
      <x:c r="I157" s="11"/>
      <x:c r="J157" s="11"/>
      <x:c r="K157" s="11"/>
      <x:c r="L157" s="11"/>
      <x:c r="M157" s="15"/>
      <x:c r="N157" s="14"/>
      <x:c r="O157" s="11"/>
    </x:row>
    <x:row r="158" ht="60" customHeight="1">
      <x:c r="A158" s="11"/>
      <x:c r="B158" s="11"/>
      <x:c r="C158" s="11"/>
      <x:c r="D158" s="11"/>
      <x:c r="E158" s="14"/>
      <x:c r="F158" s="15"/>
      <x:c r="G158" s="15"/>
      <x:c r="H158" s="11"/>
      <x:c r="I158" s="11"/>
      <x:c r="J158" s="11"/>
      <x:c r="K158" s="11"/>
      <x:c r="L158" s="11"/>
      <x:c r="M158" s="15"/>
      <x:c r="N158" s="14"/>
      <x:c r="O158" s="11"/>
    </x:row>
    <x:row r="159" ht="60" customHeight="1">
      <x:c r="A159" s="11"/>
      <x:c r="B159" s="11"/>
      <x:c r="C159" s="11"/>
      <x:c r="D159" s="11"/>
      <x:c r="E159" s="14"/>
      <x:c r="F159" s="15"/>
      <x:c r="G159" s="15"/>
      <x:c r="H159" s="11"/>
      <x:c r="I159" s="11"/>
      <x:c r="J159" s="11"/>
      <x:c r="K159" s="11"/>
      <x:c r="L159" s="11"/>
      <x:c r="M159" s="15"/>
      <x:c r="N159" s="14"/>
      <x:c r="O159" s="11"/>
    </x:row>
    <x:row r="160" ht="60" customHeight="1">
      <x:c r="A160" s="11"/>
      <x:c r="B160" s="11"/>
      <x:c r="C160" s="11"/>
      <x:c r="D160" s="11"/>
      <x:c r="E160" s="14"/>
      <x:c r="F160" s="15"/>
      <x:c r="G160" s="15"/>
      <x:c r="H160" s="11"/>
      <x:c r="I160" s="11"/>
      <x:c r="J160" s="11"/>
      <x:c r="K160" s="11"/>
      <x:c r="L160" s="11"/>
      <x:c r="M160" s="15"/>
      <x:c r="N160" s="14"/>
      <x:c r="O160" s="11"/>
    </x:row>
    <x:row r="161" ht="60" customHeight="1">
      <x:c r="A161" s="11"/>
      <x:c r="B161" s="11"/>
      <x:c r="C161" s="11"/>
      <x:c r="D161" s="11"/>
      <x:c r="E161" s="14"/>
      <x:c r="F161" s="15"/>
      <x:c r="G161" s="15"/>
      <x:c r="H161" s="11"/>
      <x:c r="I161" s="11"/>
      <x:c r="J161" s="11"/>
      <x:c r="K161" s="11"/>
      <x:c r="L161" s="11"/>
      <x:c r="M161" s="15"/>
      <x:c r="N161" s="14"/>
      <x:c r="O161" s="11"/>
    </x:row>
    <x:row r="162" ht="60" customHeight="1">
      <x:c r="A162" s="11"/>
      <x:c r="B162" s="11"/>
      <x:c r="C162" s="11"/>
      <x:c r="D162" s="11"/>
      <x:c r="E162" s="14"/>
      <x:c r="F162" s="15"/>
      <x:c r="G162" s="15"/>
      <x:c r="H162" s="11"/>
      <x:c r="I162" s="11"/>
      <x:c r="J162" s="11"/>
      <x:c r="K162" s="11"/>
      <x:c r="L162" s="11"/>
      <x:c r="M162" s="15"/>
      <x:c r="N162" s="14"/>
      <x:c r="O162" s="11"/>
    </x:row>
    <x:row r="163" ht="60" customHeight="1">
      <x:c r="A163" s="11"/>
      <x:c r="B163" s="11"/>
      <x:c r="C163" s="11"/>
      <x:c r="D163" s="11"/>
      <x:c r="E163" s="14"/>
      <x:c r="F163" s="15"/>
      <x:c r="G163" s="15"/>
      <x:c r="H163" s="11"/>
      <x:c r="I163" s="11"/>
      <x:c r="J163" s="11"/>
      <x:c r="K163" s="11"/>
      <x:c r="L163" s="11"/>
      <x:c r="M163" s="15"/>
      <x:c r="N163" s="14"/>
      <x:c r="O163" s="11"/>
    </x:row>
    <x:row r="164" ht="60" customHeight="1">
      <x:c r="A164" s="11"/>
      <x:c r="B164" s="11"/>
      <x:c r="C164" s="11"/>
      <x:c r="D164" s="11"/>
      <x:c r="E164" s="14"/>
      <x:c r="F164" s="15"/>
      <x:c r="G164" s="15"/>
      <x:c r="H164" s="11"/>
      <x:c r="I164" s="11"/>
      <x:c r="J164" s="11"/>
      <x:c r="K164" s="11"/>
      <x:c r="L164" s="11"/>
      <x:c r="M164" s="15"/>
      <x:c r="N164" s="14"/>
      <x:c r="O164" s="11"/>
    </x:row>
    <x:row r="165" ht="60" customHeight="1">
      <x:c r="A165" s="11"/>
      <x:c r="B165" s="11"/>
      <x:c r="C165" s="11"/>
      <x:c r="D165" s="11"/>
      <x:c r="E165" s="14"/>
      <x:c r="F165" s="15"/>
      <x:c r="G165" s="15"/>
      <x:c r="H165" s="11"/>
      <x:c r="I165" s="11"/>
      <x:c r="J165" s="11"/>
      <x:c r="K165" s="11"/>
      <x:c r="L165" s="11"/>
      <x:c r="M165" s="15"/>
      <x:c r="N165" s="14"/>
      <x:c r="O165" s="11"/>
    </x:row>
    <x:row r="166" ht="60" customHeight="1">
      <x:c r="A166" s="11"/>
      <x:c r="B166" s="11"/>
      <x:c r="C166" s="11"/>
      <x:c r="D166" s="11"/>
      <x:c r="E166" s="14"/>
      <x:c r="F166" s="15"/>
      <x:c r="G166" s="15"/>
      <x:c r="H166" s="11"/>
      <x:c r="I166" s="11"/>
      <x:c r="J166" s="11"/>
      <x:c r="K166" s="11"/>
      <x:c r="L166" s="11"/>
      <x:c r="M166" s="15"/>
      <x:c r="N166" s="14"/>
      <x:c r="O166" s="11"/>
    </x:row>
    <x:row r="167" ht="60" customHeight="1">
      <x:c r="A167" s="11"/>
      <x:c r="B167" s="11"/>
      <x:c r="C167" s="11"/>
      <x:c r="D167" s="11"/>
      <x:c r="E167" s="14"/>
      <x:c r="F167" s="15"/>
      <x:c r="G167" s="15"/>
      <x:c r="H167" s="11"/>
      <x:c r="I167" s="11"/>
      <x:c r="J167" s="11"/>
      <x:c r="K167" s="11"/>
      <x:c r="L167" s="11"/>
      <x:c r="M167" s="15"/>
      <x:c r="N167" s="14"/>
      <x:c r="O167" s="11"/>
    </x:row>
    <x:row r="168" ht="60" customHeight="1">
      <x:c r="A168" s="11"/>
      <x:c r="B168" s="11"/>
      <x:c r="C168" s="11"/>
      <x:c r="D168" s="11"/>
      <x:c r="E168" s="14"/>
      <x:c r="F168" s="15"/>
      <x:c r="G168" s="15"/>
      <x:c r="H168" s="11"/>
      <x:c r="I168" s="11"/>
      <x:c r="J168" s="11"/>
      <x:c r="K168" s="11"/>
      <x:c r="L168" s="11"/>
      <x:c r="M168" s="15"/>
      <x:c r="N168" s="14"/>
      <x:c r="O168" s="11"/>
    </x:row>
    <x:row r="169" ht="60" customHeight="1">
      <x:c r="A169" s="11"/>
      <x:c r="B169" s="11"/>
      <x:c r="C169" s="11"/>
      <x:c r="D169" s="11"/>
      <x:c r="E169" s="14"/>
      <x:c r="F169" s="15"/>
      <x:c r="G169" s="15"/>
      <x:c r="H169" s="11"/>
      <x:c r="I169" s="11"/>
      <x:c r="J169" s="11"/>
      <x:c r="K169" s="11"/>
      <x:c r="L169" s="11"/>
      <x:c r="M169" s="15"/>
      <x:c r="N169" s="14"/>
      <x:c r="O169" s="11"/>
    </x:row>
    <x:row r="170" ht="60" customHeight="1">
      <x:c r="A170" s="11"/>
      <x:c r="B170" s="11"/>
      <x:c r="C170" s="11"/>
      <x:c r="D170" s="11"/>
      <x:c r="E170" s="14"/>
      <x:c r="F170" s="15"/>
      <x:c r="G170" s="15"/>
      <x:c r="H170" s="11"/>
      <x:c r="I170" s="11"/>
      <x:c r="J170" s="11"/>
      <x:c r="K170" s="11"/>
      <x:c r="L170" s="11"/>
      <x:c r="M170" s="15"/>
      <x:c r="N170" s="14"/>
      <x:c r="O170" s="11"/>
    </x:row>
    <x:row r="171" ht="60" customHeight="1">
      <x:c r="A171" s="11"/>
      <x:c r="B171" s="11"/>
      <x:c r="C171" s="11"/>
      <x:c r="D171" s="11"/>
      <x:c r="E171" s="14"/>
      <x:c r="F171" s="15"/>
      <x:c r="G171" s="15"/>
      <x:c r="H171" s="11"/>
      <x:c r="I171" s="11"/>
      <x:c r="J171" s="11"/>
      <x:c r="K171" s="11"/>
      <x:c r="L171" s="11"/>
      <x:c r="M171" s="15"/>
      <x:c r="N171" s="14"/>
      <x:c r="O171" s="11"/>
    </x:row>
    <x:row r="172" ht="60" customHeight="1">
      <x:c r="A172" s="11"/>
      <x:c r="B172" s="11"/>
      <x:c r="C172" s="11"/>
      <x:c r="D172" s="11"/>
      <x:c r="E172" s="14"/>
      <x:c r="F172" s="15"/>
      <x:c r="G172" s="15"/>
      <x:c r="H172" s="11"/>
      <x:c r="I172" s="11"/>
      <x:c r="J172" s="11"/>
      <x:c r="K172" s="11"/>
      <x:c r="L172" s="11"/>
      <x:c r="M172" s="15"/>
      <x:c r="N172" s="14"/>
      <x:c r="O172" s="11"/>
    </x:row>
    <x:row r="173" ht="60" customHeight="1">
      <x:c r="A173" s="11"/>
      <x:c r="B173" s="11"/>
      <x:c r="C173" s="11"/>
      <x:c r="D173" s="11"/>
      <x:c r="E173" s="14"/>
      <x:c r="F173" s="15"/>
      <x:c r="G173" s="15"/>
      <x:c r="H173" s="11"/>
      <x:c r="I173" s="11"/>
      <x:c r="J173" s="11"/>
      <x:c r="K173" s="11"/>
      <x:c r="L173" s="11"/>
      <x:c r="M173" s="15"/>
      <x:c r="N173" s="14"/>
      <x:c r="O173" s="11"/>
    </x:row>
    <x:row r="174" ht="60" customHeight="1">
      <x:c r="A174" s="11"/>
      <x:c r="B174" s="11"/>
      <x:c r="C174" s="11"/>
      <x:c r="D174" s="11"/>
      <x:c r="E174" s="14"/>
      <x:c r="F174" s="15"/>
      <x:c r="G174" s="15"/>
      <x:c r="H174" s="11"/>
      <x:c r="I174" s="11"/>
      <x:c r="J174" s="11"/>
      <x:c r="K174" s="11"/>
      <x:c r="L174" s="11"/>
      <x:c r="M174" s="15"/>
      <x:c r="N174" s="14"/>
      <x:c r="O174" s="11"/>
    </x:row>
    <x:row r="175" ht="60" customHeight="1">
      <x:c r="A175" s="11"/>
      <x:c r="B175" s="11"/>
      <x:c r="C175" s="11"/>
      <x:c r="D175" s="11"/>
      <x:c r="E175" s="14"/>
      <x:c r="F175" s="15"/>
      <x:c r="G175" s="15"/>
      <x:c r="H175" s="11"/>
      <x:c r="I175" s="11"/>
      <x:c r="J175" s="11"/>
      <x:c r="K175" s="11"/>
      <x:c r="L175" s="11"/>
      <x:c r="M175" s="15"/>
      <x:c r="N175" s="14"/>
      <x:c r="O175" s="11"/>
    </x:row>
    <x:row r="176" ht="60" customHeight="1">
      <x:c r="A176" s="11"/>
      <x:c r="B176" s="11"/>
      <x:c r="C176" s="11"/>
      <x:c r="D176" s="11"/>
      <x:c r="E176" s="14"/>
      <x:c r="F176" s="15"/>
      <x:c r="G176" s="15"/>
      <x:c r="H176" s="11"/>
      <x:c r="I176" s="11"/>
      <x:c r="J176" s="11"/>
      <x:c r="K176" s="11"/>
      <x:c r="L176" s="11"/>
      <x:c r="M176" s="15"/>
      <x:c r="N176" s="14"/>
      <x:c r="O176" s="11"/>
    </x:row>
    <x:row r="177" ht="60" customHeight="1">
      <x:c r="A177" s="11"/>
      <x:c r="B177" s="11"/>
      <x:c r="C177" s="11"/>
      <x:c r="D177" s="11"/>
      <x:c r="E177" s="14"/>
      <x:c r="F177" s="15"/>
      <x:c r="G177" s="15"/>
      <x:c r="H177" s="11"/>
      <x:c r="I177" s="11"/>
      <x:c r="J177" s="11"/>
      <x:c r="K177" s="11"/>
      <x:c r="L177" s="11"/>
      <x:c r="M177" s="15"/>
      <x:c r="N177" s="14"/>
      <x:c r="O177" s="11"/>
    </x:row>
    <x:row r="178" ht="60" customHeight="1">
      <x:c r="A178" s="11"/>
      <x:c r="B178" s="11"/>
      <x:c r="C178" s="11"/>
      <x:c r="D178" s="11"/>
      <x:c r="E178" s="14"/>
      <x:c r="F178" s="15"/>
      <x:c r="G178" s="15"/>
      <x:c r="H178" s="11"/>
      <x:c r="I178" s="11"/>
      <x:c r="J178" s="11"/>
      <x:c r="K178" s="11"/>
      <x:c r="L178" s="11"/>
      <x:c r="M178" s="15"/>
      <x:c r="N178" s="14"/>
      <x:c r="O178" s="11"/>
    </x:row>
    <x:row r="179" ht="60" customHeight="1">
      <x:c r="A179" s="11"/>
      <x:c r="B179" s="11"/>
      <x:c r="C179" s="11"/>
      <x:c r="D179" s="11"/>
      <x:c r="E179" s="14"/>
      <x:c r="F179" s="15"/>
      <x:c r="G179" s="15"/>
      <x:c r="H179" s="11"/>
      <x:c r="I179" s="11"/>
      <x:c r="J179" s="11"/>
      <x:c r="K179" s="11"/>
      <x:c r="L179" s="11"/>
      <x:c r="M179" s="15"/>
      <x:c r="N179" s="14"/>
      <x:c r="O179" s="11"/>
    </x:row>
    <x:row r="180" ht="60" customHeight="1">
      <x:c r="A180" s="11"/>
      <x:c r="B180" s="11"/>
      <x:c r="C180" s="11"/>
      <x:c r="D180" s="11"/>
      <x:c r="E180" s="14"/>
      <x:c r="F180" s="15"/>
      <x:c r="G180" s="15"/>
      <x:c r="H180" s="11"/>
      <x:c r="I180" s="11"/>
      <x:c r="J180" s="11"/>
      <x:c r="K180" s="11"/>
      <x:c r="L180" s="11"/>
      <x:c r="M180" s="15"/>
      <x:c r="N180" s="14"/>
      <x:c r="O180" s="11"/>
    </x:row>
    <x:row r="181" ht="60" customHeight="1">
      <x:c r="A181" s="11"/>
      <x:c r="B181" s="11"/>
      <x:c r="C181" s="11"/>
      <x:c r="D181" s="11"/>
      <x:c r="E181" s="14"/>
      <x:c r="F181" s="15"/>
      <x:c r="G181" s="15"/>
      <x:c r="H181" s="11"/>
      <x:c r="I181" s="11"/>
      <x:c r="J181" s="11"/>
      <x:c r="K181" s="11"/>
      <x:c r="L181" s="11"/>
      <x:c r="M181" s="15"/>
      <x:c r="N181" s="14"/>
      <x:c r="O181" s="11"/>
    </x:row>
    <x:row r="182" ht="60" customHeight="1">
      <x:c r="A182" s="11"/>
      <x:c r="B182" s="11"/>
      <x:c r="C182" s="11"/>
      <x:c r="D182" s="11"/>
      <x:c r="E182" s="14"/>
      <x:c r="F182" s="15"/>
      <x:c r="G182" s="15"/>
      <x:c r="H182" s="11"/>
      <x:c r="I182" s="11"/>
      <x:c r="J182" s="11"/>
      <x:c r="K182" s="11"/>
      <x:c r="L182" s="11"/>
      <x:c r="M182" s="15"/>
      <x:c r="N182" s="14"/>
      <x:c r="O182" s="11"/>
    </x:row>
    <x:row r="183" ht="60" customHeight="1">
      <x:c r="A183" s="11"/>
      <x:c r="B183" s="11"/>
      <x:c r="C183" s="11"/>
      <x:c r="D183" s="11"/>
      <x:c r="E183" s="14"/>
      <x:c r="F183" s="15"/>
      <x:c r="G183" s="15"/>
      <x:c r="H183" s="11"/>
      <x:c r="I183" s="11"/>
      <x:c r="J183" s="11"/>
      <x:c r="K183" s="11"/>
      <x:c r="L183" s="11"/>
      <x:c r="M183" s="15"/>
      <x:c r="N183" s="14"/>
      <x:c r="O183" s="11"/>
    </x:row>
    <x:row r="184" ht="60" customHeight="1">
      <x:c r="A184" s="11"/>
      <x:c r="B184" s="11"/>
      <x:c r="C184" s="11"/>
      <x:c r="D184" s="11"/>
      <x:c r="E184" s="14"/>
      <x:c r="F184" s="15"/>
      <x:c r="G184" s="15"/>
      <x:c r="H184" s="11"/>
      <x:c r="I184" s="11"/>
      <x:c r="J184" s="11"/>
      <x:c r="K184" s="11"/>
      <x:c r="L184" s="11"/>
      <x:c r="M184" s="15"/>
      <x:c r="N184" s="14"/>
      <x:c r="O184" s="11"/>
    </x:row>
    <x:row r="185" ht="60" customHeight="1">
      <x:c r="A185" s="11"/>
      <x:c r="B185" s="11"/>
      <x:c r="C185" s="11"/>
      <x:c r="D185" s="11"/>
      <x:c r="E185" s="14"/>
      <x:c r="F185" s="15"/>
      <x:c r="G185" s="15"/>
      <x:c r="H185" s="11"/>
      <x:c r="I185" s="11"/>
      <x:c r="J185" s="11"/>
      <x:c r="K185" s="11"/>
      <x:c r="L185" s="11"/>
      <x:c r="M185" s="15"/>
      <x:c r="N185" s="14"/>
      <x:c r="O185" s="11"/>
    </x:row>
    <x:row r="186" ht="60" customHeight="1">
      <x:c r="A186" s="11"/>
      <x:c r="B186" s="11"/>
      <x:c r="C186" s="11"/>
      <x:c r="D186" s="11"/>
      <x:c r="E186" s="14"/>
      <x:c r="F186" s="15"/>
      <x:c r="G186" s="15"/>
      <x:c r="H186" s="11"/>
      <x:c r="I186" s="11"/>
      <x:c r="J186" s="11"/>
      <x:c r="K186" s="11"/>
      <x:c r="L186" s="11"/>
      <x:c r="M186" s="15"/>
      <x:c r="N186" s="14"/>
      <x:c r="O186" s="11"/>
    </x:row>
    <x:row r="187" ht="60" customHeight="1">
      <x:c r="A187" s="11"/>
      <x:c r="B187" s="11"/>
      <x:c r="C187" s="11"/>
      <x:c r="D187" s="11"/>
      <x:c r="E187" s="14"/>
      <x:c r="F187" s="15"/>
      <x:c r="G187" s="15"/>
      <x:c r="H187" s="11"/>
      <x:c r="I187" s="11"/>
      <x:c r="J187" s="11"/>
      <x:c r="K187" s="11"/>
      <x:c r="L187" s="11"/>
      <x:c r="M187" s="15"/>
      <x:c r="N187" s="14"/>
      <x:c r="O187" s="11"/>
    </x:row>
    <x:row r="188" ht="60" customHeight="1">
      <x:c r="A188" s="11"/>
      <x:c r="B188" s="11"/>
      <x:c r="C188" s="11"/>
      <x:c r="D188" s="11"/>
      <x:c r="E188" s="14"/>
      <x:c r="F188" s="15"/>
      <x:c r="G188" s="15"/>
      <x:c r="H188" s="11"/>
      <x:c r="I188" s="11"/>
      <x:c r="J188" s="11"/>
      <x:c r="K188" s="11"/>
      <x:c r="L188" s="11"/>
      <x:c r="M188" s="15"/>
      <x:c r="N188" s="14"/>
      <x:c r="O188" s="11"/>
    </x:row>
    <x:row r="189" ht="60" customHeight="1">
      <x:c r="A189" s="11"/>
      <x:c r="B189" s="11"/>
      <x:c r="C189" s="11"/>
      <x:c r="D189" s="11"/>
      <x:c r="E189" s="14"/>
      <x:c r="F189" s="15"/>
      <x:c r="G189" s="15"/>
      <x:c r="H189" s="11"/>
      <x:c r="I189" s="11"/>
      <x:c r="J189" s="11"/>
      <x:c r="K189" s="11"/>
      <x:c r="L189" s="11"/>
      <x:c r="M189" s="15"/>
      <x:c r="N189" s="14"/>
      <x:c r="O189" s="11"/>
    </x:row>
    <x:row r="190" ht="60" customHeight="1">
      <x:c r="A190" s="11"/>
      <x:c r="B190" s="11"/>
      <x:c r="C190" s="11"/>
      <x:c r="D190" s="11"/>
      <x:c r="E190" s="14"/>
      <x:c r="F190" s="15"/>
      <x:c r="G190" s="15"/>
      <x:c r="H190" s="11"/>
      <x:c r="I190" s="11"/>
      <x:c r="J190" s="11"/>
      <x:c r="K190" s="11"/>
      <x:c r="L190" s="11"/>
      <x:c r="M190" s="15"/>
      <x:c r="N190" s="14"/>
      <x:c r="O190" s="11"/>
    </x:row>
    <x:row r="191" ht="60" customHeight="1">
      <x:c r="A191" s="11"/>
      <x:c r="B191" s="11"/>
      <x:c r="C191" s="11"/>
      <x:c r="D191" s="11"/>
      <x:c r="E191" s="14"/>
      <x:c r="F191" s="15"/>
      <x:c r="G191" s="15"/>
      <x:c r="H191" s="11"/>
      <x:c r="I191" s="11"/>
      <x:c r="J191" s="11"/>
      <x:c r="K191" s="11"/>
      <x:c r="L191" s="11"/>
      <x:c r="M191" s="15"/>
      <x:c r="N191" s="14"/>
      <x:c r="O191" s="11"/>
    </x:row>
    <x:row r="192" ht="60" customHeight="1">
      <x:c r="A192" s="11"/>
      <x:c r="B192" s="11"/>
      <x:c r="C192" s="11"/>
      <x:c r="D192" s="11"/>
      <x:c r="E192" s="14"/>
      <x:c r="F192" s="15"/>
      <x:c r="G192" s="15"/>
      <x:c r="H192" s="11"/>
      <x:c r="I192" s="11"/>
      <x:c r="J192" s="11"/>
      <x:c r="K192" s="11"/>
      <x:c r="L192" s="11"/>
      <x:c r="M192" s="15"/>
      <x:c r="N192" s="14"/>
      <x:c r="O192" s="11"/>
    </x:row>
    <x:row r="193" ht="60" customHeight="1">
      <x:c r="A193" s="11"/>
      <x:c r="B193" s="11"/>
      <x:c r="C193" s="11"/>
      <x:c r="D193" s="11"/>
      <x:c r="E193" s="14"/>
      <x:c r="F193" s="15"/>
      <x:c r="G193" s="15"/>
      <x:c r="H193" s="11"/>
      <x:c r="I193" s="11"/>
      <x:c r="J193" s="11"/>
      <x:c r="K193" s="11"/>
      <x:c r="L193" s="11"/>
      <x:c r="M193" s="15"/>
      <x:c r="N193" s="14"/>
      <x:c r="O193" s="11"/>
    </x:row>
    <x:row r="194" ht="60" customHeight="1">
      <x:c r="A194" s="11"/>
      <x:c r="B194" s="11"/>
      <x:c r="C194" s="11"/>
      <x:c r="D194" s="11"/>
      <x:c r="E194" s="14"/>
      <x:c r="F194" s="15"/>
      <x:c r="G194" s="15"/>
      <x:c r="H194" s="11"/>
      <x:c r="I194" s="11"/>
      <x:c r="J194" s="11"/>
      <x:c r="K194" s="11"/>
      <x:c r="L194" s="11"/>
      <x:c r="M194" s="15"/>
      <x:c r="N194" s="14"/>
      <x:c r="O194" s="11"/>
    </x:row>
    <x:row r="195" ht="60" customHeight="1">
      <x:c r="A195" s="11"/>
      <x:c r="B195" s="11"/>
      <x:c r="C195" s="11"/>
      <x:c r="D195" s="11"/>
      <x:c r="E195" s="14"/>
      <x:c r="F195" s="15"/>
      <x:c r="G195" s="15"/>
      <x:c r="H195" s="11"/>
      <x:c r="I195" s="11"/>
      <x:c r="J195" s="11"/>
      <x:c r="K195" s="11"/>
      <x:c r="L195" s="11"/>
      <x:c r="M195" s="15"/>
      <x:c r="N195" s="14"/>
      <x:c r="O195" s="11"/>
    </x:row>
    <x:row r="196" ht="60" customHeight="1">
      <x:c r="A196" s="11"/>
      <x:c r="B196" s="11"/>
      <x:c r="C196" s="11"/>
      <x:c r="D196" s="11"/>
      <x:c r="E196" s="14"/>
      <x:c r="F196" s="15"/>
      <x:c r="G196" s="15"/>
      <x:c r="H196" s="11"/>
      <x:c r="I196" s="11"/>
      <x:c r="J196" s="11"/>
      <x:c r="K196" s="11"/>
      <x:c r="L196" s="11"/>
      <x:c r="M196" s="15"/>
      <x:c r="N196" s="14"/>
      <x:c r="O196" s="11"/>
    </x:row>
    <x:row r="197" ht="60" customHeight="1">
      <x:c r="A197" s="11"/>
      <x:c r="B197" s="11"/>
      <x:c r="C197" s="11"/>
      <x:c r="D197" s="11"/>
      <x:c r="E197" s="14"/>
      <x:c r="F197" s="15"/>
      <x:c r="G197" s="15"/>
      <x:c r="H197" s="11"/>
      <x:c r="I197" s="11"/>
      <x:c r="J197" s="11"/>
      <x:c r="K197" s="11"/>
      <x:c r="L197" s="11"/>
      <x:c r="M197" s="15"/>
      <x:c r="N197" s="14"/>
      <x:c r="O197" s="11"/>
    </x:row>
    <x:row r="198" ht="60" customHeight="1">
      <x:c r="A198" s="11"/>
      <x:c r="B198" s="11"/>
      <x:c r="C198" s="11"/>
      <x:c r="D198" s="11"/>
      <x:c r="E198" s="14"/>
      <x:c r="F198" s="15"/>
      <x:c r="G198" s="15"/>
      <x:c r="H198" s="11"/>
      <x:c r="I198" s="11"/>
      <x:c r="J198" s="11"/>
      <x:c r="K198" s="11"/>
      <x:c r="L198" s="11"/>
      <x:c r="M198" s="15"/>
      <x:c r="N198" s="14"/>
      <x:c r="O198" s="11"/>
    </x:row>
    <x:row r="199" ht="60" customHeight="1">
      <x:c r="A199" s="11"/>
      <x:c r="B199" s="11"/>
      <x:c r="C199" s="11"/>
      <x:c r="D199" s="11"/>
      <x:c r="E199" s="14"/>
      <x:c r="F199" s="15"/>
      <x:c r="G199" s="15"/>
      <x:c r="H199" s="11"/>
      <x:c r="I199" s="11"/>
      <x:c r="J199" s="11"/>
      <x:c r="K199" s="11"/>
      <x:c r="L199" s="11"/>
      <x:c r="M199" s="15"/>
      <x:c r="N199" s="14"/>
      <x:c r="O199" s="11"/>
    </x:row>
    <x:row r="200" ht="60" customHeight="1">
      <x:c r="A200" s="11"/>
      <x:c r="B200" s="11"/>
      <x:c r="C200" s="11"/>
      <x:c r="D200" s="11"/>
      <x:c r="E200" s="14"/>
      <x:c r="F200" s="15"/>
      <x:c r="G200" s="15"/>
      <x:c r="H200" s="11"/>
      <x:c r="I200" s="11"/>
      <x:c r="J200" s="11"/>
      <x:c r="K200" s="11"/>
      <x:c r="L200" s="11"/>
      <x:c r="M200" s="15"/>
      <x:c r="N200" s="14"/>
      <x:c r="O200" s="11"/>
    </x:row>
    <x:row r="201" ht="60" customHeight="1">
      <x:c r="A201" s="11"/>
      <x:c r="B201" s="11"/>
      <x:c r="C201" s="11"/>
      <x:c r="D201" s="11"/>
      <x:c r="E201" s="14"/>
      <x:c r="F201" s="15"/>
      <x:c r="G201" s="15"/>
      <x:c r="H201" s="11"/>
      <x:c r="I201" s="11"/>
      <x:c r="J201" s="11"/>
      <x:c r="K201" s="11"/>
      <x:c r="L201" s="11"/>
      <x:c r="M201" s="15"/>
      <x:c r="N201" s="14"/>
      <x:c r="O201" s="11"/>
    </x:row>
    <x:row r="202" ht="60" customHeight="1">
      <x:c r="A202" s="11"/>
      <x:c r="B202" s="11"/>
      <x:c r="C202" s="11"/>
      <x:c r="D202" s="11"/>
      <x:c r="E202" s="14"/>
      <x:c r="F202" s="15"/>
      <x:c r="G202" s="15"/>
      <x:c r="H202" s="11"/>
      <x:c r="I202" s="11"/>
      <x:c r="J202" s="11"/>
      <x:c r="K202" s="11"/>
      <x:c r="L202" s="11"/>
      <x:c r="M202" s="15"/>
      <x:c r="N202" s="14"/>
      <x:c r="O202" s="11"/>
    </x:row>
    <x:row r="203" ht="60" customHeight="1">
      <x:c r="A203" s="11"/>
      <x:c r="B203" s="11"/>
      <x:c r="C203" s="11"/>
      <x:c r="D203" s="11"/>
      <x:c r="E203" s="14"/>
      <x:c r="F203" s="15"/>
      <x:c r="G203" s="15"/>
      <x:c r="H203" s="11"/>
      <x:c r="I203" s="11"/>
      <x:c r="J203" s="11"/>
      <x:c r="K203" s="11"/>
      <x:c r="L203" s="11"/>
      <x:c r="M203" s="15"/>
      <x:c r="N203" s="14"/>
      <x:c r="O203" s="11"/>
    </x:row>
    <x:row r="204" ht="60" customHeight="1">
      <x:c r="A204" s="11"/>
      <x:c r="B204" s="11"/>
      <x:c r="C204" s="11"/>
      <x:c r="D204" s="11"/>
      <x:c r="E204" s="14"/>
      <x:c r="F204" s="15"/>
      <x:c r="G204" s="15"/>
      <x:c r="H204" s="11"/>
      <x:c r="I204" s="11"/>
      <x:c r="J204" s="11"/>
      <x:c r="K204" s="11"/>
      <x:c r="L204" s="11"/>
      <x:c r="M204" s="15"/>
      <x:c r="N204" s="14"/>
      <x:c r="O204" s="11"/>
    </x:row>
    <x:row r="205" ht="60" customHeight="1">
      <x:c r="A205" s="11"/>
      <x:c r="B205" s="11"/>
      <x:c r="C205" s="11"/>
      <x:c r="D205" s="11"/>
      <x:c r="E205" s="14"/>
      <x:c r="F205" s="15"/>
      <x:c r="G205" s="15"/>
      <x:c r="H205" s="11"/>
      <x:c r="I205" s="11"/>
      <x:c r="J205" s="11"/>
      <x:c r="K205" s="11"/>
      <x:c r="L205" s="11"/>
      <x:c r="M205" s="15"/>
      <x:c r="N205" s="14"/>
      <x:c r="O205" s="11"/>
    </x:row>
    <x:row r="206" ht="60" customHeight="1">
      <x:c r="A206" s="11"/>
      <x:c r="B206" s="11"/>
      <x:c r="C206" s="11"/>
      <x:c r="D206" s="11"/>
      <x:c r="E206" s="14"/>
      <x:c r="F206" s="15"/>
      <x:c r="G206" s="15"/>
      <x:c r="H206" s="11"/>
      <x:c r="I206" s="11"/>
      <x:c r="J206" s="11"/>
      <x:c r="K206" s="11"/>
      <x:c r="L206" s="11"/>
      <x:c r="M206" s="15"/>
      <x:c r="N206" s="14"/>
      <x:c r="O206" s="11"/>
    </x:row>
  </x:sheetData>
  <x:conditionalFormatting sqref="I7:I206">
    <x:cfRule type="containsText" dxfId="3" priority="1" operator="containsText" text="Conflict"/>
  </x:conditionalFormatting>
  <x:dataValidations count="1">
    <x:dataValidation type="list" sqref="I7:I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b7e5bd3d1d4cd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34" hidden="0" customWidth="1"/>
    <x:col min="8" max="8" width="19" hidden="0" customWidth="1"/>
    <x:col min="9" max="9" width="19" hidden="0" customWidth="1"/>
    <x:col min="10" max="10" width="19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Issues, constraints and delays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Issue ID</x:v>
      </x:c>
      <x:c r="B6" s="8" t="str">
        <x:v>Project ID</x:v>
      </x:c>
      <x:c r="C6" s="8" t="str">
        <x:v>WBS ID</x:v>
      </x:c>
      <x:c r="D6" s="8" t="str">
        <x:v>Category</x:v>
      </x:c>
      <x:c r="E6" s="8" t="str">
        <x:v>Description</x:v>
      </x:c>
      <x:c r="F6" s="8" t="str">
        <x:v>Observed Date</x:v>
      </x:c>
      <x:c r="G6" s="8" t="str">
        <x:v>Impact Basis</x:v>
      </x:c>
      <x:c r="H6" s="8" t="str">
        <x:v>Owner</x:v>
      </x:c>
      <x:c r="I6" s="8" t="str">
        <x:v>Due Date</x:v>
      </x:c>
      <x:c r="J6" s="8" t="str">
        <x:v>Status</x:v>
      </x:c>
      <x:c r="K6" s="8" t="str">
        <x:v>Next Action</x:v>
      </x:c>
      <x:c r="L6" s="8" t="str">
        <x:v>Evidence Reference</x:v>
      </x:c>
      <x:c r="M6" s="8" t="str">
        <x:v>Reviewer</x:v>
      </x:c>
      <x:c r="N6" s="8" t="str">
        <x:v>Review Date</x:v>
      </x:c>
      <x:c r="O6" s="8" t="str">
        <x:v>Revision</x:v>
      </x:c>
      <x:c r="P6" s="8" t="str">
        <x:v>Source Reference</x:v>
      </x:c>
    </x:row>
    <x:row r="7" ht="60" customHeight="1">
      <x:c r="A7" s="11"/>
      <x:c r="B7" s="11"/>
      <x:c r="C7" s="11"/>
      <x:c r="D7" s="11"/>
      <x:c r="E7" s="11"/>
      <x:c r="F7" s="15"/>
      <x:c r="G7" s="11"/>
      <x:c r="H7" s="11"/>
      <x:c r="I7" s="15"/>
      <x:c r="J7" s="11"/>
      <x:c r="K7" s="11"/>
      <x:c r="L7" s="11"/>
      <x:c r="M7" s="11"/>
      <x:c r="N7" s="15"/>
      <x:c r="O7" s="14"/>
      <x:c r="P7" s="11"/>
    </x:row>
    <x:row r="8" ht="60" customHeight="1">
      <x:c r="A8" s="11"/>
      <x:c r="B8" s="11"/>
      <x:c r="C8" s="11"/>
      <x:c r="D8" s="11"/>
      <x:c r="E8" s="11"/>
      <x:c r="F8" s="15"/>
      <x:c r="G8" s="11"/>
      <x:c r="H8" s="11"/>
      <x:c r="I8" s="15"/>
      <x:c r="J8" s="11"/>
      <x:c r="K8" s="11"/>
      <x:c r="L8" s="11"/>
      <x:c r="M8" s="11"/>
      <x:c r="N8" s="15"/>
      <x:c r="O8" s="14"/>
      <x:c r="P8" s="11"/>
    </x:row>
    <x:row r="9" ht="60" customHeight="1">
      <x:c r="A9" s="11"/>
      <x:c r="B9" s="11"/>
      <x:c r="C9" s="11"/>
      <x:c r="D9" s="11"/>
      <x:c r="E9" s="11"/>
      <x:c r="F9" s="15"/>
      <x:c r="G9" s="11"/>
      <x:c r="H9" s="11"/>
      <x:c r="I9" s="15"/>
      <x:c r="J9" s="11"/>
      <x:c r="K9" s="11"/>
      <x:c r="L9" s="11"/>
      <x:c r="M9" s="11"/>
      <x:c r="N9" s="15"/>
      <x:c r="O9" s="14"/>
      <x:c r="P9" s="11"/>
    </x:row>
    <x:row r="10" ht="60" customHeight="1">
      <x:c r="A10" s="11"/>
      <x:c r="B10" s="11"/>
      <x:c r="C10" s="11"/>
      <x:c r="D10" s="11"/>
      <x:c r="E10" s="11"/>
      <x:c r="F10" s="15"/>
      <x:c r="G10" s="11"/>
      <x:c r="H10" s="11"/>
      <x:c r="I10" s="15"/>
      <x:c r="J10" s="11"/>
      <x:c r="K10" s="11"/>
      <x:c r="L10" s="11"/>
      <x:c r="M10" s="11"/>
      <x:c r="N10" s="15"/>
      <x:c r="O10" s="14"/>
      <x:c r="P10" s="11"/>
    </x:row>
    <x:row r="11" ht="60" customHeight="1">
      <x:c r="A11" s="11"/>
      <x:c r="B11" s="11"/>
      <x:c r="C11" s="11"/>
      <x:c r="D11" s="11"/>
      <x:c r="E11" s="11"/>
      <x:c r="F11" s="15"/>
      <x:c r="G11" s="11"/>
      <x:c r="H11" s="11"/>
      <x:c r="I11" s="15"/>
      <x:c r="J11" s="11"/>
      <x:c r="K11" s="11"/>
      <x:c r="L11" s="11"/>
      <x:c r="M11" s="11"/>
      <x:c r="N11" s="15"/>
      <x:c r="O11" s="14"/>
      <x:c r="P11" s="11"/>
    </x:row>
    <x:row r="12" ht="60" customHeight="1">
      <x:c r="A12" s="11"/>
      <x:c r="B12" s="11"/>
      <x:c r="C12" s="11"/>
      <x:c r="D12" s="11"/>
      <x:c r="E12" s="11"/>
      <x:c r="F12" s="15"/>
      <x:c r="G12" s="11"/>
      <x:c r="H12" s="11"/>
      <x:c r="I12" s="15"/>
      <x:c r="J12" s="11"/>
      <x:c r="K12" s="11"/>
      <x:c r="L12" s="11"/>
      <x:c r="M12" s="11"/>
      <x:c r="N12" s="15"/>
      <x:c r="O12" s="14"/>
      <x:c r="P12" s="11"/>
    </x:row>
    <x:row r="13" ht="60" customHeight="1">
      <x:c r="A13" s="11"/>
      <x:c r="B13" s="11"/>
      <x:c r="C13" s="11"/>
      <x:c r="D13" s="11"/>
      <x:c r="E13" s="11"/>
      <x:c r="F13" s="15"/>
      <x:c r="G13" s="11"/>
      <x:c r="H13" s="11"/>
      <x:c r="I13" s="15"/>
      <x:c r="J13" s="11"/>
      <x:c r="K13" s="11"/>
      <x:c r="L13" s="11"/>
      <x:c r="M13" s="11"/>
      <x:c r="N13" s="15"/>
      <x:c r="O13" s="14"/>
      <x:c r="P13" s="11"/>
    </x:row>
    <x:row r="14" ht="60" customHeight="1">
      <x:c r="A14" s="11"/>
      <x:c r="B14" s="11"/>
      <x:c r="C14" s="11"/>
      <x:c r="D14" s="11"/>
      <x:c r="E14" s="11"/>
      <x:c r="F14" s="15"/>
      <x:c r="G14" s="11"/>
      <x:c r="H14" s="11"/>
      <x:c r="I14" s="15"/>
      <x:c r="J14" s="11"/>
      <x:c r="K14" s="11"/>
      <x:c r="L14" s="11"/>
      <x:c r="M14" s="11"/>
      <x:c r="N14" s="15"/>
      <x:c r="O14" s="14"/>
      <x:c r="P14" s="11"/>
    </x:row>
    <x:row r="15" ht="60" customHeight="1">
      <x:c r="A15" s="11"/>
      <x:c r="B15" s="11"/>
      <x:c r="C15" s="11"/>
      <x:c r="D15" s="11"/>
      <x:c r="E15" s="11"/>
      <x:c r="F15" s="15"/>
      <x:c r="G15" s="11"/>
      <x:c r="H15" s="11"/>
      <x:c r="I15" s="15"/>
      <x:c r="J15" s="11"/>
      <x:c r="K15" s="11"/>
      <x:c r="L15" s="11"/>
      <x:c r="M15" s="11"/>
      <x:c r="N15" s="15"/>
      <x:c r="O15" s="14"/>
      <x:c r="P15" s="11"/>
    </x:row>
    <x:row r="16" ht="60" customHeight="1">
      <x:c r="A16" s="11"/>
      <x:c r="B16" s="11"/>
      <x:c r="C16" s="11"/>
      <x:c r="D16" s="11"/>
      <x:c r="E16" s="11"/>
      <x:c r="F16" s="15"/>
      <x:c r="G16" s="11"/>
      <x:c r="H16" s="11"/>
      <x:c r="I16" s="15"/>
      <x:c r="J16" s="11"/>
      <x:c r="K16" s="11"/>
      <x:c r="L16" s="11"/>
      <x:c r="M16" s="11"/>
      <x:c r="N16" s="15"/>
      <x:c r="O16" s="14"/>
      <x:c r="P16" s="11"/>
    </x:row>
    <x:row r="17" ht="60" customHeight="1">
      <x:c r="A17" s="11"/>
      <x:c r="B17" s="11"/>
      <x:c r="C17" s="11"/>
      <x:c r="D17" s="11"/>
      <x:c r="E17" s="11"/>
      <x:c r="F17" s="15"/>
      <x:c r="G17" s="11"/>
      <x:c r="H17" s="11"/>
      <x:c r="I17" s="15"/>
      <x:c r="J17" s="11"/>
      <x:c r="K17" s="11"/>
      <x:c r="L17" s="11"/>
      <x:c r="M17" s="11"/>
      <x:c r="N17" s="15"/>
      <x:c r="O17" s="14"/>
      <x:c r="P17" s="11"/>
    </x:row>
    <x:row r="18" ht="60" customHeight="1">
      <x:c r="A18" s="11"/>
      <x:c r="B18" s="11"/>
      <x:c r="C18" s="11"/>
      <x:c r="D18" s="11"/>
      <x:c r="E18" s="11"/>
      <x:c r="F18" s="15"/>
      <x:c r="G18" s="11"/>
      <x:c r="H18" s="11"/>
      <x:c r="I18" s="15"/>
      <x:c r="J18" s="11"/>
      <x:c r="K18" s="11"/>
      <x:c r="L18" s="11"/>
      <x:c r="M18" s="11"/>
      <x:c r="N18" s="15"/>
      <x:c r="O18" s="14"/>
      <x:c r="P18" s="11"/>
    </x:row>
    <x:row r="19" ht="60" customHeight="1">
      <x:c r="A19" s="11"/>
      <x:c r="B19" s="11"/>
      <x:c r="C19" s="11"/>
      <x:c r="D19" s="11"/>
      <x:c r="E19" s="11"/>
      <x:c r="F19" s="15"/>
      <x:c r="G19" s="11"/>
      <x:c r="H19" s="11"/>
      <x:c r="I19" s="15"/>
      <x:c r="J19" s="11"/>
      <x:c r="K19" s="11"/>
      <x:c r="L19" s="11"/>
      <x:c r="M19" s="11"/>
      <x:c r="N19" s="15"/>
      <x:c r="O19" s="14"/>
      <x:c r="P19" s="11"/>
    </x:row>
    <x:row r="20" ht="60" customHeight="1">
      <x:c r="A20" s="11"/>
      <x:c r="B20" s="11"/>
      <x:c r="C20" s="11"/>
      <x:c r="D20" s="11"/>
      <x:c r="E20" s="11"/>
      <x:c r="F20" s="15"/>
      <x:c r="G20" s="11"/>
      <x:c r="H20" s="11"/>
      <x:c r="I20" s="15"/>
      <x:c r="J20" s="11"/>
      <x:c r="K20" s="11"/>
      <x:c r="L20" s="11"/>
      <x:c r="M20" s="11"/>
      <x:c r="N20" s="15"/>
      <x:c r="O20" s="14"/>
      <x:c r="P20" s="11"/>
    </x:row>
    <x:row r="21" ht="60" customHeight="1">
      <x:c r="A21" s="11"/>
      <x:c r="B21" s="11"/>
      <x:c r="C21" s="11"/>
      <x:c r="D21" s="11"/>
      <x:c r="E21" s="11"/>
      <x:c r="F21" s="15"/>
      <x:c r="G21" s="11"/>
      <x:c r="H21" s="11"/>
      <x:c r="I21" s="15"/>
      <x:c r="J21" s="11"/>
      <x:c r="K21" s="11"/>
      <x:c r="L21" s="11"/>
      <x:c r="M21" s="11"/>
      <x:c r="N21" s="15"/>
      <x:c r="O21" s="14"/>
      <x:c r="P21" s="11"/>
    </x:row>
    <x:row r="22" ht="60" customHeight="1">
      <x:c r="A22" s="11"/>
      <x:c r="B22" s="11"/>
      <x:c r="C22" s="11"/>
      <x:c r="D22" s="11"/>
      <x:c r="E22" s="11"/>
      <x:c r="F22" s="15"/>
      <x:c r="G22" s="11"/>
      <x:c r="H22" s="11"/>
      <x:c r="I22" s="15"/>
      <x:c r="J22" s="11"/>
      <x:c r="K22" s="11"/>
      <x:c r="L22" s="11"/>
      <x:c r="M22" s="11"/>
      <x:c r="N22" s="15"/>
      <x:c r="O22" s="14"/>
      <x:c r="P22" s="11"/>
    </x:row>
    <x:row r="23" ht="60" customHeight="1">
      <x:c r="A23" s="11"/>
      <x:c r="B23" s="11"/>
      <x:c r="C23" s="11"/>
      <x:c r="D23" s="11"/>
      <x:c r="E23" s="11"/>
      <x:c r="F23" s="15"/>
      <x:c r="G23" s="11"/>
      <x:c r="H23" s="11"/>
      <x:c r="I23" s="15"/>
      <x:c r="J23" s="11"/>
      <x:c r="K23" s="11"/>
      <x:c r="L23" s="11"/>
      <x:c r="M23" s="11"/>
      <x:c r="N23" s="15"/>
      <x:c r="O23" s="14"/>
      <x:c r="P23" s="11"/>
    </x:row>
    <x:row r="24" ht="60" customHeight="1">
      <x:c r="A24" s="11"/>
      <x:c r="B24" s="11"/>
      <x:c r="C24" s="11"/>
      <x:c r="D24" s="11"/>
      <x:c r="E24" s="11"/>
      <x:c r="F24" s="15"/>
      <x:c r="G24" s="11"/>
      <x:c r="H24" s="11"/>
      <x:c r="I24" s="15"/>
      <x:c r="J24" s="11"/>
      <x:c r="K24" s="11"/>
      <x:c r="L24" s="11"/>
      <x:c r="M24" s="11"/>
      <x:c r="N24" s="15"/>
      <x:c r="O24" s="14"/>
      <x:c r="P24" s="11"/>
    </x:row>
    <x:row r="25" ht="60" customHeight="1">
      <x:c r="A25" s="11"/>
      <x:c r="B25" s="11"/>
      <x:c r="C25" s="11"/>
      <x:c r="D25" s="11"/>
      <x:c r="E25" s="11"/>
      <x:c r="F25" s="15"/>
      <x:c r="G25" s="11"/>
      <x:c r="H25" s="11"/>
      <x:c r="I25" s="15"/>
      <x:c r="J25" s="11"/>
      <x:c r="K25" s="11"/>
      <x:c r="L25" s="11"/>
      <x:c r="M25" s="11"/>
      <x:c r="N25" s="15"/>
      <x:c r="O25" s="14"/>
      <x:c r="P25" s="11"/>
    </x:row>
    <x:row r="26" ht="60" customHeight="1">
      <x:c r="A26" s="11"/>
      <x:c r="B26" s="11"/>
      <x:c r="C26" s="11"/>
      <x:c r="D26" s="11"/>
      <x:c r="E26" s="11"/>
      <x:c r="F26" s="15"/>
      <x:c r="G26" s="11"/>
      <x:c r="H26" s="11"/>
      <x:c r="I26" s="15"/>
      <x:c r="J26" s="11"/>
      <x:c r="K26" s="11"/>
      <x:c r="L26" s="11"/>
      <x:c r="M26" s="11"/>
      <x:c r="N26" s="15"/>
      <x:c r="O26" s="14"/>
      <x:c r="P26" s="11"/>
    </x:row>
    <x:row r="27" ht="60" customHeight="1">
      <x:c r="A27" s="11"/>
      <x:c r="B27" s="11"/>
      <x:c r="C27" s="11"/>
      <x:c r="D27" s="11"/>
      <x:c r="E27" s="11"/>
      <x:c r="F27" s="15"/>
      <x:c r="G27" s="11"/>
      <x:c r="H27" s="11"/>
      <x:c r="I27" s="15"/>
      <x:c r="J27" s="11"/>
      <x:c r="K27" s="11"/>
      <x:c r="L27" s="11"/>
      <x:c r="M27" s="11"/>
      <x:c r="N27" s="15"/>
      <x:c r="O27" s="14"/>
      <x:c r="P27" s="11"/>
    </x:row>
    <x:row r="28" ht="60" customHeight="1">
      <x:c r="A28" s="11"/>
      <x:c r="B28" s="11"/>
      <x:c r="C28" s="11"/>
      <x:c r="D28" s="11"/>
      <x:c r="E28" s="11"/>
      <x:c r="F28" s="15"/>
      <x:c r="G28" s="11"/>
      <x:c r="H28" s="11"/>
      <x:c r="I28" s="15"/>
      <x:c r="J28" s="11"/>
      <x:c r="K28" s="11"/>
      <x:c r="L28" s="11"/>
      <x:c r="M28" s="11"/>
      <x:c r="N28" s="15"/>
      <x:c r="O28" s="14"/>
      <x:c r="P28" s="11"/>
    </x:row>
    <x:row r="29" ht="60" customHeight="1">
      <x:c r="A29" s="11"/>
      <x:c r="B29" s="11"/>
      <x:c r="C29" s="11"/>
      <x:c r="D29" s="11"/>
      <x:c r="E29" s="11"/>
      <x:c r="F29" s="15"/>
      <x:c r="G29" s="11"/>
      <x:c r="H29" s="11"/>
      <x:c r="I29" s="15"/>
      <x:c r="J29" s="11"/>
      <x:c r="K29" s="11"/>
      <x:c r="L29" s="11"/>
      <x:c r="M29" s="11"/>
      <x:c r="N29" s="15"/>
      <x:c r="O29" s="14"/>
      <x:c r="P29" s="11"/>
    </x:row>
    <x:row r="30" ht="60" customHeight="1">
      <x:c r="A30" s="11"/>
      <x:c r="B30" s="11"/>
      <x:c r="C30" s="11"/>
      <x:c r="D30" s="11"/>
      <x:c r="E30" s="11"/>
      <x:c r="F30" s="15"/>
      <x:c r="G30" s="11"/>
      <x:c r="H30" s="11"/>
      <x:c r="I30" s="15"/>
      <x:c r="J30" s="11"/>
      <x:c r="K30" s="11"/>
      <x:c r="L30" s="11"/>
      <x:c r="M30" s="11"/>
      <x:c r="N30" s="15"/>
      <x:c r="O30" s="14"/>
      <x:c r="P30" s="11"/>
    </x:row>
    <x:row r="31" ht="60" customHeight="1">
      <x:c r="A31" s="11"/>
      <x:c r="B31" s="11"/>
      <x:c r="C31" s="11"/>
      <x:c r="D31" s="11"/>
      <x:c r="E31" s="11"/>
      <x:c r="F31" s="15"/>
      <x:c r="G31" s="11"/>
      <x:c r="H31" s="11"/>
      <x:c r="I31" s="15"/>
      <x:c r="J31" s="11"/>
      <x:c r="K31" s="11"/>
      <x:c r="L31" s="11"/>
      <x:c r="M31" s="11"/>
      <x:c r="N31" s="15"/>
      <x:c r="O31" s="14"/>
      <x:c r="P31" s="11"/>
    </x:row>
    <x:row r="32" ht="60" customHeight="1">
      <x:c r="A32" s="11"/>
      <x:c r="B32" s="11"/>
      <x:c r="C32" s="11"/>
      <x:c r="D32" s="11"/>
      <x:c r="E32" s="11"/>
      <x:c r="F32" s="15"/>
      <x:c r="G32" s="11"/>
      <x:c r="H32" s="11"/>
      <x:c r="I32" s="15"/>
      <x:c r="J32" s="11"/>
      <x:c r="K32" s="11"/>
      <x:c r="L32" s="11"/>
      <x:c r="M32" s="11"/>
      <x:c r="N32" s="15"/>
      <x:c r="O32" s="14"/>
      <x:c r="P32" s="11"/>
    </x:row>
    <x:row r="33" ht="60" customHeight="1">
      <x:c r="A33" s="11"/>
      <x:c r="B33" s="11"/>
      <x:c r="C33" s="11"/>
      <x:c r="D33" s="11"/>
      <x:c r="E33" s="11"/>
      <x:c r="F33" s="15"/>
      <x:c r="G33" s="11"/>
      <x:c r="H33" s="11"/>
      <x:c r="I33" s="15"/>
      <x:c r="J33" s="11"/>
      <x:c r="K33" s="11"/>
      <x:c r="L33" s="11"/>
      <x:c r="M33" s="11"/>
      <x:c r="N33" s="15"/>
      <x:c r="O33" s="14"/>
      <x:c r="P33" s="11"/>
    </x:row>
    <x:row r="34" ht="60" customHeight="1">
      <x:c r="A34" s="11"/>
      <x:c r="B34" s="11"/>
      <x:c r="C34" s="11"/>
      <x:c r="D34" s="11"/>
      <x:c r="E34" s="11"/>
      <x:c r="F34" s="15"/>
      <x:c r="G34" s="11"/>
      <x:c r="H34" s="11"/>
      <x:c r="I34" s="15"/>
      <x:c r="J34" s="11"/>
      <x:c r="K34" s="11"/>
      <x:c r="L34" s="11"/>
      <x:c r="M34" s="11"/>
      <x:c r="N34" s="15"/>
      <x:c r="O34" s="14"/>
      <x:c r="P34" s="11"/>
    </x:row>
    <x:row r="35" ht="60" customHeight="1">
      <x:c r="A35" s="11"/>
      <x:c r="B35" s="11"/>
      <x:c r="C35" s="11"/>
      <x:c r="D35" s="11"/>
      <x:c r="E35" s="11"/>
      <x:c r="F35" s="15"/>
      <x:c r="G35" s="11"/>
      <x:c r="H35" s="11"/>
      <x:c r="I35" s="15"/>
      <x:c r="J35" s="11"/>
      <x:c r="K35" s="11"/>
      <x:c r="L35" s="11"/>
      <x:c r="M35" s="11"/>
      <x:c r="N35" s="15"/>
      <x:c r="O35" s="14"/>
      <x:c r="P35" s="11"/>
    </x:row>
    <x:row r="36" ht="60" customHeight="1">
      <x:c r="A36" s="11"/>
      <x:c r="B36" s="11"/>
      <x:c r="C36" s="11"/>
      <x:c r="D36" s="11"/>
      <x:c r="E36" s="11"/>
      <x:c r="F36" s="15"/>
      <x:c r="G36" s="11"/>
      <x:c r="H36" s="11"/>
      <x:c r="I36" s="15"/>
      <x:c r="J36" s="11"/>
      <x:c r="K36" s="11"/>
      <x:c r="L36" s="11"/>
      <x:c r="M36" s="11"/>
      <x:c r="N36" s="15"/>
      <x:c r="O36" s="14"/>
      <x:c r="P36" s="11"/>
    </x:row>
    <x:row r="37" ht="60" customHeight="1">
      <x:c r="A37" s="11"/>
      <x:c r="B37" s="11"/>
      <x:c r="C37" s="11"/>
      <x:c r="D37" s="11"/>
      <x:c r="E37" s="11"/>
      <x:c r="F37" s="15"/>
      <x:c r="G37" s="11"/>
      <x:c r="H37" s="11"/>
      <x:c r="I37" s="15"/>
      <x:c r="J37" s="11"/>
      <x:c r="K37" s="11"/>
      <x:c r="L37" s="11"/>
      <x:c r="M37" s="11"/>
      <x:c r="N37" s="15"/>
      <x:c r="O37" s="14"/>
      <x:c r="P37" s="11"/>
    </x:row>
    <x:row r="38" ht="60" customHeight="1">
      <x:c r="A38" s="11"/>
      <x:c r="B38" s="11"/>
      <x:c r="C38" s="11"/>
      <x:c r="D38" s="11"/>
      <x:c r="E38" s="11"/>
      <x:c r="F38" s="15"/>
      <x:c r="G38" s="11"/>
      <x:c r="H38" s="11"/>
      <x:c r="I38" s="15"/>
      <x:c r="J38" s="11"/>
      <x:c r="K38" s="11"/>
      <x:c r="L38" s="11"/>
      <x:c r="M38" s="11"/>
      <x:c r="N38" s="15"/>
      <x:c r="O38" s="14"/>
      <x:c r="P38" s="11"/>
    </x:row>
    <x:row r="39" ht="60" customHeight="1">
      <x:c r="A39" s="11"/>
      <x:c r="B39" s="11"/>
      <x:c r="C39" s="11"/>
      <x:c r="D39" s="11"/>
      <x:c r="E39" s="11"/>
      <x:c r="F39" s="15"/>
      <x:c r="G39" s="11"/>
      <x:c r="H39" s="11"/>
      <x:c r="I39" s="15"/>
      <x:c r="J39" s="11"/>
      <x:c r="K39" s="11"/>
      <x:c r="L39" s="11"/>
      <x:c r="M39" s="11"/>
      <x:c r="N39" s="15"/>
      <x:c r="O39" s="14"/>
      <x:c r="P39" s="11"/>
    </x:row>
    <x:row r="40" ht="60" customHeight="1">
      <x:c r="A40" s="11"/>
      <x:c r="B40" s="11"/>
      <x:c r="C40" s="11"/>
      <x:c r="D40" s="11"/>
      <x:c r="E40" s="11"/>
      <x:c r="F40" s="15"/>
      <x:c r="G40" s="11"/>
      <x:c r="H40" s="11"/>
      <x:c r="I40" s="15"/>
      <x:c r="J40" s="11"/>
      <x:c r="K40" s="11"/>
      <x:c r="L40" s="11"/>
      <x:c r="M40" s="11"/>
      <x:c r="N40" s="15"/>
      <x:c r="O40" s="14"/>
      <x:c r="P40" s="11"/>
    </x:row>
    <x:row r="41" ht="60" customHeight="1">
      <x:c r="A41" s="11"/>
      <x:c r="B41" s="11"/>
      <x:c r="C41" s="11"/>
      <x:c r="D41" s="11"/>
      <x:c r="E41" s="11"/>
      <x:c r="F41" s="15"/>
      <x:c r="G41" s="11"/>
      <x:c r="H41" s="11"/>
      <x:c r="I41" s="15"/>
      <x:c r="J41" s="11"/>
      <x:c r="K41" s="11"/>
      <x:c r="L41" s="11"/>
      <x:c r="M41" s="11"/>
      <x:c r="N41" s="15"/>
      <x:c r="O41" s="14"/>
      <x:c r="P41" s="11"/>
    </x:row>
    <x:row r="42" ht="60" customHeight="1">
      <x:c r="A42" s="11"/>
      <x:c r="B42" s="11"/>
      <x:c r="C42" s="11"/>
      <x:c r="D42" s="11"/>
      <x:c r="E42" s="11"/>
      <x:c r="F42" s="15"/>
      <x:c r="G42" s="11"/>
      <x:c r="H42" s="11"/>
      <x:c r="I42" s="15"/>
      <x:c r="J42" s="11"/>
      <x:c r="K42" s="11"/>
      <x:c r="L42" s="11"/>
      <x:c r="M42" s="11"/>
      <x:c r="N42" s="15"/>
      <x:c r="O42" s="14"/>
      <x:c r="P42" s="11"/>
    </x:row>
    <x:row r="43" ht="60" customHeight="1">
      <x:c r="A43" s="11"/>
      <x:c r="B43" s="11"/>
      <x:c r="C43" s="11"/>
      <x:c r="D43" s="11"/>
      <x:c r="E43" s="11"/>
      <x:c r="F43" s="15"/>
      <x:c r="G43" s="11"/>
      <x:c r="H43" s="11"/>
      <x:c r="I43" s="15"/>
      <x:c r="J43" s="11"/>
      <x:c r="K43" s="11"/>
      <x:c r="L43" s="11"/>
      <x:c r="M43" s="11"/>
      <x:c r="N43" s="15"/>
      <x:c r="O43" s="14"/>
      <x:c r="P43" s="11"/>
    </x:row>
    <x:row r="44" ht="60" customHeight="1">
      <x:c r="A44" s="11"/>
      <x:c r="B44" s="11"/>
      <x:c r="C44" s="11"/>
      <x:c r="D44" s="11"/>
      <x:c r="E44" s="11"/>
      <x:c r="F44" s="15"/>
      <x:c r="G44" s="11"/>
      <x:c r="H44" s="11"/>
      <x:c r="I44" s="15"/>
      <x:c r="J44" s="11"/>
      <x:c r="K44" s="11"/>
      <x:c r="L44" s="11"/>
      <x:c r="M44" s="11"/>
      <x:c r="N44" s="15"/>
      <x:c r="O44" s="14"/>
      <x:c r="P44" s="11"/>
    </x:row>
    <x:row r="45" ht="60" customHeight="1">
      <x:c r="A45" s="11"/>
      <x:c r="B45" s="11"/>
      <x:c r="C45" s="11"/>
      <x:c r="D45" s="11"/>
      <x:c r="E45" s="11"/>
      <x:c r="F45" s="15"/>
      <x:c r="G45" s="11"/>
      <x:c r="H45" s="11"/>
      <x:c r="I45" s="15"/>
      <x:c r="J45" s="11"/>
      <x:c r="K45" s="11"/>
      <x:c r="L45" s="11"/>
      <x:c r="M45" s="11"/>
      <x:c r="N45" s="15"/>
      <x:c r="O45" s="14"/>
      <x:c r="P45" s="11"/>
    </x:row>
    <x:row r="46" ht="60" customHeight="1">
      <x:c r="A46" s="11"/>
      <x:c r="B46" s="11"/>
      <x:c r="C46" s="11"/>
      <x:c r="D46" s="11"/>
      <x:c r="E46" s="11"/>
      <x:c r="F46" s="15"/>
      <x:c r="G46" s="11"/>
      <x:c r="H46" s="11"/>
      <x:c r="I46" s="15"/>
      <x:c r="J46" s="11"/>
      <x:c r="K46" s="11"/>
      <x:c r="L46" s="11"/>
      <x:c r="M46" s="11"/>
      <x:c r="N46" s="15"/>
      <x:c r="O46" s="14"/>
      <x:c r="P46" s="11"/>
    </x:row>
    <x:row r="47" ht="60" customHeight="1">
      <x:c r="A47" s="11"/>
      <x:c r="B47" s="11"/>
      <x:c r="C47" s="11"/>
      <x:c r="D47" s="11"/>
      <x:c r="E47" s="11"/>
      <x:c r="F47" s="15"/>
      <x:c r="G47" s="11"/>
      <x:c r="H47" s="11"/>
      <x:c r="I47" s="15"/>
      <x:c r="J47" s="11"/>
      <x:c r="K47" s="11"/>
      <x:c r="L47" s="11"/>
      <x:c r="M47" s="11"/>
      <x:c r="N47" s="15"/>
      <x:c r="O47" s="14"/>
      <x:c r="P47" s="11"/>
    </x:row>
    <x:row r="48" ht="60" customHeight="1">
      <x:c r="A48" s="11"/>
      <x:c r="B48" s="11"/>
      <x:c r="C48" s="11"/>
      <x:c r="D48" s="11"/>
      <x:c r="E48" s="11"/>
      <x:c r="F48" s="15"/>
      <x:c r="G48" s="11"/>
      <x:c r="H48" s="11"/>
      <x:c r="I48" s="15"/>
      <x:c r="J48" s="11"/>
      <x:c r="K48" s="11"/>
      <x:c r="L48" s="11"/>
      <x:c r="M48" s="11"/>
      <x:c r="N48" s="15"/>
      <x:c r="O48" s="14"/>
      <x:c r="P48" s="11"/>
    </x:row>
    <x:row r="49" ht="60" customHeight="1">
      <x:c r="A49" s="11"/>
      <x:c r="B49" s="11"/>
      <x:c r="C49" s="11"/>
      <x:c r="D49" s="11"/>
      <x:c r="E49" s="11"/>
      <x:c r="F49" s="15"/>
      <x:c r="G49" s="11"/>
      <x:c r="H49" s="11"/>
      <x:c r="I49" s="15"/>
      <x:c r="J49" s="11"/>
      <x:c r="K49" s="11"/>
      <x:c r="L49" s="11"/>
      <x:c r="M49" s="11"/>
      <x:c r="N49" s="15"/>
      <x:c r="O49" s="14"/>
      <x:c r="P49" s="11"/>
    </x:row>
    <x:row r="50" ht="60" customHeight="1">
      <x:c r="A50" s="11"/>
      <x:c r="B50" s="11"/>
      <x:c r="C50" s="11"/>
      <x:c r="D50" s="11"/>
      <x:c r="E50" s="11"/>
      <x:c r="F50" s="15"/>
      <x:c r="G50" s="11"/>
      <x:c r="H50" s="11"/>
      <x:c r="I50" s="15"/>
      <x:c r="J50" s="11"/>
      <x:c r="K50" s="11"/>
      <x:c r="L50" s="11"/>
      <x:c r="M50" s="11"/>
      <x:c r="N50" s="15"/>
      <x:c r="O50" s="14"/>
      <x:c r="P50" s="11"/>
    </x:row>
    <x:row r="51" ht="60" customHeight="1">
      <x:c r="A51" s="11"/>
      <x:c r="B51" s="11"/>
      <x:c r="C51" s="11"/>
      <x:c r="D51" s="11"/>
      <x:c r="E51" s="11"/>
      <x:c r="F51" s="15"/>
      <x:c r="G51" s="11"/>
      <x:c r="H51" s="11"/>
      <x:c r="I51" s="15"/>
      <x:c r="J51" s="11"/>
      <x:c r="K51" s="11"/>
      <x:c r="L51" s="11"/>
      <x:c r="M51" s="11"/>
      <x:c r="N51" s="15"/>
      <x:c r="O51" s="14"/>
      <x:c r="P51" s="11"/>
    </x:row>
    <x:row r="52" ht="60" customHeight="1">
      <x:c r="A52" s="11"/>
      <x:c r="B52" s="11"/>
      <x:c r="C52" s="11"/>
      <x:c r="D52" s="11"/>
      <x:c r="E52" s="11"/>
      <x:c r="F52" s="15"/>
      <x:c r="G52" s="11"/>
      <x:c r="H52" s="11"/>
      <x:c r="I52" s="15"/>
      <x:c r="J52" s="11"/>
      <x:c r="K52" s="11"/>
      <x:c r="L52" s="11"/>
      <x:c r="M52" s="11"/>
      <x:c r="N52" s="15"/>
      <x:c r="O52" s="14"/>
      <x:c r="P52" s="11"/>
    </x:row>
    <x:row r="53" ht="60" customHeight="1">
      <x:c r="A53" s="11"/>
      <x:c r="B53" s="11"/>
      <x:c r="C53" s="11"/>
      <x:c r="D53" s="11"/>
      <x:c r="E53" s="11"/>
      <x:c r="F53" s="15"/>
      <x:c r="G53" s="11"/>
      <x:c r="H53" s="11"/>
      <x:c r="I53" s="15"/>
      <x:c r="J53" s="11"/>
      <x:c r="K53" s="11"/>
      <x:c r="L53" s="11"/>
      <x:c r="M53" s="11"/>
      <x:c r="N53" s="15"/>
      <x:c r="O53" s="14"/>
      <x:c r="P53" s="11"/>
    </x:row>
    <x:row r="54" ht="60" customHeight="1">
      <x:c r="A54" s="11"/>
      <x:c r="B54" s="11"/>
      <x:c r="C54" s="11"/>
      <x:c r="D54" s="11"/>
      <x:c r="E54" s="11"/>
      <x:c r="F54" s="15"/>
      <x:c r="G54" s="11"/>
      <x:c r="H54" s="11"/>
      <x:c r="I54" s="15"/>
      <x:c r="J54" s="11"/>
      <x:c r="K54" s="11"/>
      <x:c r="L54" s="11"/>
      <x:c r="M54" s="11"/>
      <x:c r="N54" s="15"/>
      <x:c r="O54" s="14"/>
      <x:c r="P54" s="11"/>
    </x:row>
    <x:row r="55" ht="60" customHeight="1">
      <x:c r="A55" s="11"/>
      <x:c r="B55" s="11"/>
      <x:c r="C55" s="11"/>
      <x:c r="D55" s="11"/>
      <x:c r="E55" s="11"/>
      <x:c r="F55" s="15"/>
      <x:c r="G55" s="11"/>
      <x:c r="H55" s="11"/>
      <x:c r="I55" s="15"/>
      <x:c r="J55" s="11"/>
      <x:c r="K55" s="11"/>
      <x:c r="L55" s="11"/>
      <x:c r="M55" s="11"/>
      <x:c r="N55" s="15"/>
      <x:c r="O55" s="14"/>
      <x:c r="P55" s="11"/>
    </x:row>
    <x:row r="56" ht="60" customHeight="1">
      <x:c r="A56" s="11"/>
      <x:c r="B56" s="11"/>
      <x:c r="C56" s="11"/>
      <x:c r="D56" s="11"/>
      <x:c r="E56" s="11"/>
      <x:c r="F56" s="15"/>
      <x:c r="G56" s="11"/>
      <x:c r="H56" s="11"/>
      <x:c r="I56" s="15"/>
      <x:c r="J56" s="11"/>
      <x:c r="K56" s="11"/>
      <x:c r="L56" s="11"/>
      <x:c r="M56" s="11"/>
      <x:c r="N56" s="15"/>
      <x:c r="O56" s="14"/>
      <x:c r="P56" s="11"/>
    </x:row>
    <x:row r="57" ht="60" customHeight="1">
      <x:c r="A57" s="11"/>
      <x:c r="B57" s="11"/>
      <x:c r="C57" s="11"/>
      <x:c r="D57" s="11"/>
      <x:c r="E57" s="11"/>
      <x:c r="F57" s="15"/>
      <x:c r="G57" s="11"/>
      <x:c r="H57" s="11"/>
      <x:c r="I57" s="15"/>
      <x:c r="J57" s="11"/>
      <x:c r="K57" s="11"/>
      <x:c r="L57" s="11"/>
      <x:c r="M57" s="11"/>
      <x:c r="N57" s="15"/>
      <x:c r="O57" s="14"/>
      <x:c r="P57" s="11"/>
    </x:row>
    <x:row r="58" ht="60" customHeight="1">
      <x:c r="A58" s="11"/>
      <x:c r="B58" s="11"/>
      <x:c r="C58" s="11"/>
      <x:c r="D58" s="11"/>
      <x:c r="E58" s="11"/>
      <x:c r="F58" s="15"/>
      <x:c r="G58" s="11"/>
      <x:c r="H58" s="11"/>
      <x:c r="I58" s="15"/>
      <x:c r="J58" s="11"/>
      <x:c r="K58" s="11"/>
      <x:c r="L58" s="11"/>
      <x:c r="M58" s="11"/>
      <x:c r="N58" s="15"/>
      <x:c r="O58" s="14"/>
      <x:c r="P58" s="11"/>
    </x:row>
    <x:row r="59" ht="60" customHeight="1">
      <x:c r="A59" s="11"/>
      <x:c r="B59" s="11"/>
      <x:c r="C59" s="11"/>
      <x:c r="D59" s="11"/>
      <x:c r="E59" s="11"/>
      <x:c r="F59" s="15"/>
      <x:c r="G59" s="11"/>
      <x:c r="H59" s="11"/>
      <x:c r="I59" s="15"/>
      <x:c r="J59" s="11"/>
      <x:c r="K59" s="11"/>
      <x:c r="L59" s="11"/>
      <x:c r="M59" s="11"/>
      <x:c r="N59" s="15"/>
      <x:c r="O59" s="14"/>
      <x:c r="P59" s="11"/>
    </x:row>
    <x:row r="60" ht="60" customHeight="1">
      <x:c r="A60" s="11"/>
      <x:c r="B60" s="11"/>
      <x:c r="C60" s="11"/>
      <x:c r="D60" s="11"/>
      <x:c r="E60" s="11"/>
      <x:c r="F60" s="15"/>
      <x:c r="G60" s="11"/>
      <x:c r="H60" s="11"/>
      <x:c r="I60" s="15"/>
      <x:c r="J60" s="11"/>
      <x:c r="K60" s="11"/>
      <x:c r="L60" s="11"/>
      <x:c r="M60" s="11"/>
      <x:c r="N60" s="15"/>
      <x:c r="O60" s="14"/>
      <x:c r="P60" s="11"/>
    </x:row>
    <x:row r="61" ht="60" customHeight="1">
      <x:c r="A61" s="11"/>
      <x:c r="B61" s="11"/>
      <x:c r="C61" s="11"/>
      <x:c r="D61" s="11"/>
      <x:c r="E61" s="11"/>
      <x:c r="F61" s="15"/>
      <x:c r="G61" s="11"/>
      <x:c r="H61" s="11"/>
      <x:c r="I61" s="15"/>
      <x:c r="J61" s="11"/>
      <x:c r="K61" s="11"/>
      <x:c r="L61" s="11"/>
      <x:c r="M61" s="11"/>
      <x:c r="N61" s="15"/>
      <x:c r="O61" s="14"/>
      <x:c r="P61" s="11"/>
    </x:row>
    <x:row r="62" ht="60" customHeight="1">
      <x:c r="A62" s="11"/>
      <x:c r="B62" s="11"/>
      <x:c r="C62" s="11"/>
      <x:c r="D62" s="11"/>
      <x:c r="E62" s="11"/>
      <x:c r="F62" s="15"/>
      <x:c r="G62" s="11"/>
      <x:c r="H62" s="11"/>
      <x:c r="I62" s="15"/>
      <x:c r="J62" s="11"/>
      <x:c r="K62" s="11"/>
      <x:c r="L62" s="11"/>
      <x:c r="M62" s="11"/>
      <x:c r="N62" s="15"/>
      <x:c r="O62" s="14"/>
      <x:c r="P62" s="11"/>
    </x:row>
    <x:row r="63" ht="60" customHeight="1">
      <x:c r="A63" s="11"/>
      <x:c r="B63" s="11"/>
      <x:c r="C63" s="11"/>
      <x:c r="D63" s="11"/>
      <x:c r="E63" s="11"/>
      <x:c r="F63" s="15"/>
      <x:c r="G63" s="11"/>
      <x:c r="H63" s="11"/>
      <x:c r="I63" s="15"/>
      <x:c r="J63" s="11"/>
      <x:c r="K63" s="11"/>
      <x:c r="L63" s="11"/>
      <x:c r="M63" s="11"/>
      <x:c r="N63" s="15"/>
      <x:c r="O63" s="14"/>
      <x:c r="P63" s="11"/>
    </x:row>
    <x:row r="64" ht="60" customHeight="1">
      <x:c r="A64" s="11"/>
      <x:c r="B64" s="11"/>
      <x:c r="C64" s="11"/>
      <x:c r="D64" s="11"/>
      <x:c r="E64" s="11"/>
      <x:c r="F64" s="15"/>
      <x:c r="G64" s="11"/>
      <x:c r="H64" s="11"/>
      <x:c r="I64" s="15"/>
      <x:c r="J64" s="11"/>
      <x:c r="K64" s="11"/>
      <x:c r="L64" s="11"/>
      <x:c r="M64" s="11"/>
      <x:c r="N64" s="15"/>
      <x:c r="O64" s="14"/>
      <x:c r="P64" s="11"/>
    </x:row>
    <x:row r="65" ht="60" customHeight="1">
      <x:c r="A65" s="11"/>
      <x:c r="B65" s="11"/>
      <x:c r="C65" s="11"/>
      <x:c r="D65" s="11"/>
      <x:c r="E65" s="11"/>
      <x:c r="F65" s="15"/>
      <x:c r="G65" s="11"/>
      <x:c r="H65" s="11"/>
      <x:c r="I65" s="15"/>
      <x:c r="J65" s="11"/>
      <x:c r="K65" s="11"/>
      <x:c r="L65" s="11"/>
      <x:c r="M65" s="11"/>
      <x:c r="N65" s="15"/>
      <x:c r="O65" s="14"/>
      <x:c r="P65" s="11"/>
    </x:row>
    <x:row r="66" ht="60" customHeight="1">
      <x:c r="A66" s="11"/>
      <x:c r="B66" s="11"/>
      <x:c r="C66" s="11"/>
      <x:c r="D66" s="11"/>
      <x:c r="E66" s="11"/>
      <x:c r="F66" s="15"/>
      <x:c r="G66" s="11"/>
      <x:c r="H66" s="11"/>
      <x:c r="I66" s="15"/>
      <x:c r="J66" s="11"/>
      <x:c r="K66" s="11"/>
      <x:c r="L66" s="11"/>
      <x:c r="M66" s="11"/>
      <x:c r="N66" s="15"/>
      <x:c r="O66" s="14"/>
      <x:c r="P66" s="11"/>
    </x:row>
    <x:row r="67" ht="60" customHeight="1">
      <x:c r="A67" s="11"/>
      <x:c r="B67" s="11"/>
      <x:c r="C67" s="11"/>
      <x:c r="D67" s="11"/>
      <x:c r="E67" s="11"/>
      <x:c r="F67" s="15"/>
      <x:c r="G67" s="11"/>
      <x:c r="H67" s="11"/>
      <x:c r="I67" s="15"/>
      <x:c r="J67" s="11"/>
      <x:c r="K67" s="11"/>
      <x:c r="L67" s="11"/>
      <x:c r="M67" s="11"/>
      <x:c r="N67" s="15"/>
      <x:c r="O67" s="14"/>
      <x:c r="P67" s="11"/>
    </x:row>
    <x:row r="68" ht="60" customHeight="1">
      <x:c r="A68" s="11"/>
      <x:c r="B68" s="11"/>
      <x:c r="C68" s="11"/>
      <x:c r="D68" s="11"/>
      <x:c r="E68" s="11"/>
      <x:c r="F68" s="15"/>
      <x:c r="G68" s="11"/>
      <x:c r="H68" s="11"/>
      <x:c r="I68" s="15"/>
      <x:c r="J68" s="11"/>
      <x:c r="K68" s="11"/>
      <x:c r="L68" s="11"/>
      <x:c r="M68" s="11"/>
      <x:c r="N68" s="15"/>
      <x:c r="O68" s="14"/>
      <x:c r="P68" s="11"/>
    </x:row>
    <x:row r="69" ht="60" customHeight="1">
      <x:c r="A69" s="11"/>
      <x:c r="B69" s="11"/>
      <x:c r="C69" s="11"/>
      <x:c r="D69" s="11"/>
      <x:c r="E69" s="11"/>
      <x:c r="F69" s="15"/>
      <x:c r="G69" s="11"/>
      <x:c r="H69" s="11"/>
      <x:c r="I69" s="15"/>
      <x:c r="J69" s="11"/>
      <x:c r="K69" s="11"/>
      <x:c r="L69" s="11"/>
      <x:c r="M69" s="11"/>
      <x:c r="N69" s="15"/>
      <x:c r="O69" s="14"/>
      <x:c r="P69" s="11"/>
    </x:row>
    <x:row r="70" ht="60" customHeight="1">
      <x:c r="A70" s="11"/>
      <x:c r="B70" s="11"/>
      <x:c r="C70" s="11"/>
      <x:c r="D70" s="11"/>
      <x:c r="E70" s="11"/>
      <x:c r="F70" s="15"/>
      <x:c r="G70" s="11"/>
      <x:c r="H70" s="11"/>
      <x:c r="I70" s="15"/>
      <x:c r="J70" s="11"/>
      <x:c r="K70" s="11"/>
      <x:c r="L70" s="11"/>
      <x:c r="M70" s="11"/>
      <x:c r="N70" s="15"/>
      <x:c r="O70" s="14"/>
      <x:c r="P70" s="11"/>
    </x:row>
    <x:row r="71" ht="60" customHeight="1">
      <x:c r="A71" s="11"/>
      <x:c r="B71" s="11"/>
      <x:c r="C71" s="11"/>
      <x:c r="D71" s="11"/>
      <x:c r="E71" s="11"/>
      <x:c r="F71" s="15"/>
      <x:c r="G71" s="11"/>
      <x:c r="H71" s="11"/>
      <x:c r="I71" s="15"/>
      <x:c r="J71" s="11"/>
      <x:c r="K71" s="11"/>
      <x:c r="L71" s="11"/>
      <x:c r="M71" s="11"/>
      <x:c r="N71" s="15"/>
      <x:c r="O71" s="14"/>
      <x:c r="P71" s="11"/>
    </x:row>
    <x:row r="72" ht="60" customHeight="1">
      <x:c r="A72" s="11"/>
      <x:c r="B72" s="11"/>
      <x:c r="C72" s="11"/>
      <x:c r="D72" s="11"/>
      <x:c r="E72" s="11"/>
      <x:c r="F72" s="15"/>
      <x:c r="G72" s="11"/>
      <x:c r="H72" s="11"/>
      <x:c r="I72" s="15"/>
      <x:c r="J72" s="11"/>
      <x:c r="K72" s="11"/>
      <x:c r="L72" s="11"/>
      <x:c r="M72" s="11"/>
      <x:c r="N72" s="15"/>
      <x:c r="O72" s="14"/>
      <x:c r="P72" s="11"/>
    </x:row>
    <x:row r="73" ht="60" customHeight="1">
      <x:c r="A73" s="11"/>
      <x:c r="B73" s="11"/>
      <x:c r="C73" s="11"/>
      <x:c r="D73" s="11"/>
      <x:c r="E73" s="11"/>
      <x:c r="F73" s="15"/>
      <x:c r="G73" s="11"/>
      <x:c r="H73" s="11"/>
      <x:c r="I73" s="15"/>
      <x:c r="J73" s="11"/>
      <x:c r="K73" s="11"/>
      <x:c r="L73" s="11"/>
      <x:c r="M73" s="11"/>
      <x:c r="N73" s="15"/>
      <x:c r="O73" s="14"/>
      <x:c r="P73" s="11"/>
    </x:row>
    <x:row r="74" ht="60" customHeight="1">
      <x:c r="A74" s="11"/>
      <x:c r="B74" s="11"/>
      <x:c r="C74" s="11"/>
      <x:c r="D74" s="11"/>
      <x:c r="E74" s="11"/>
      <x:c r="F74" s="15"/>
      <x:c r="G74" s="11"/>
      <x:c r="H74" s="11"/>
      <x:c r="I74" s="15"/>
      <x:c r="J74" s="11"/>
      <x:c r="K74" s="11"/>
      <x:c r="L74" s="11"/>
      <x:c r="M74" s="11"/>
      <x:c r="N74" s="15"/>
      <x:c r="O74" s="14"/>
      <x:c r="P74" s="11"/>
    </x:row>
    <x:row r="75" ht="60" customHeight="1">
      <x:c r="A75" s="11"/>
      <x:c r="B75" s="11"/>
      <x:c r="C75" s="11"/>
      <x:c r="D75" s="11"/>
      <x:c r="E75" s="11"/>
      <x:c r="F75" s="15"/>
      <x:c r="G75" s="11"/>
      <x:c r="H75" s="11"/>
      <x:c r="I75" s="15"/>
      <x:c r="J75" s="11"/>
      <x:c r="K75" s="11"/>
      <x:c r="L75" s="11"/>
      <x:c r="M75" s="11"/>
      <x:c r="N75" s="15"/>
      <x:c r="O75" s="14"/>
      <x:c r="P75" s="11"/>
    </x:row>
    <x:row r="76" ht="60" customHeight="1">
      <x:c r="A76" s="11"/>
      <x:c r="B76" s="11"/>
      <x:c r="C76" s="11"/>
      <x:c r="D76" s="11"/>
      <x:c r="E76" s="11"/>
      <x:c r="F76" s="15"/>
      <x:c r="G76" s="11"/>
      <x:c r="H76" s="11"/>
      <x:c r="I76" s="15"/>
      <x:c r="J76" s="11"/>
      <x:c r="K76" s="11"/>
      <x:c r="L76" s="11"/>
      <x:c r="M76" s="11"/>
      <x:c r="N76" s="15"/>
      <x:c r="O76" s="14"/>
      <x:c r="P76" s="11"/>
    </x:row>
    <x:row r="77" ht="60" customHeight="1">
      <x:c r="A77" s="11"/>
      <x:c r="B77" s="11"/>
      <x:c r="C77" s="11"/>
      <x:c r="D77" s="11"/>
      <x:c r="E77" s="11"/>
      <x:c r="F77" s="15"/>
      <x:c r="G77" s="11"/>
      <x:c r="H77" s="11"/>
      <x:c r="I77" s="15"/>
      <x:c r="J77" s="11"/>
      <x:c r="K77" s="11"/>
      <x:c r="L77" s="11"/>
      <x:c r="M77" s="11"/>
      <x:c r="N77" s="15"/>
      <x:c r="O77" s="14"/>
      <x:c r="P77" s="11"/>
    </x:row>
    <x:row r="78" ht="60" customHeight="1">
      <x:c r="A78" s="11"/>
      <x:c r="B78" s="11"/>
      <x:c r="C78" s="11"/>
      <x:c r="D78" s="11"/>
      <x:c r="E78" s="11"/>
      <x:c r="F78" s="15"/>
      <x:c r="G78" s="11"/>
      <x:c r="H78" s="11"/>
      <x:c r="I78" s="15"/>
      <x:c r="J78" s="11"/>
      <x:c r="K78" s="11"/>
      <x:c r="L78" s="11"/>
      <x:c r="M78" s="11"/>
      <x:c r="N78" s="15"/>
      <x:c r="O78" s="14"/>
      <x:c r="P78" s="11"/>
    </x:row>
    <x:row r="79" ht="60" customHeight="1">
      <x:c r="A79" s="11"/>
      <x:c r="B79" s="11"/>
      <x:c r="C79" s="11"/>
      <x:c r="D79" s="11"/>
      <x:c r="E79" s="11"/>
      <x:c r="F79" s="15"/>
      <x:c r="G79" s="11"/>
      <x:c r="H79" s="11"/>
      <x:c r="I79" s="15"/>
      <x:c r="J79" s="11"/>
      <x:c r="K79" s="11"/>
      <x:c r="L79" s="11"/>
      <x:c r="M79" s="11"/>
      <x:c r="N79" s="15"/>
      <x:c r="O79" s="14"/>
      <x:c r="P79" s="11"/>
    </x:row>
    <x:row r="80" ht="60" customHeight="1">
      <x:c r="A80" s="11"/>
      <x:c r="B80" s="11"/>
      <x:c r="C80" s="11"/>
      <x:c r="D80" s="11"/>
      <x:c r="E80" s="11"/>
      <x:c r="F80" s="15"/>
      <x:c r="G80" s="11"/>
      <x:c r="H80" s="11"/>
      <x:c r="I80" s="15"/>
      <x:c r="J80" s="11"/>
      <x:c r="K80" s="11"/>
      <x:c r="L80" s="11"/>
      <x:c r="M80" s="11"/>
      <x:c r="N80" s="15"/>
      <x:c r="O80" s="14"/>
      <x:c r="P80" s="11"/>
    </x:row>
    <x:row r="81" ht="60" customHeight="1">
      <x:c r="A81" s="11"/>
      <x:c r="B81" s="11"/>
      <x:c r="C81" s="11"/>
      <x:c r="D81" s="11"/>
      <x:c r="E81" s="11"/>
      <x:c r="F81" s="15"/>
      <x:c r="G81" s="11"/>
      <x:c r="H81" s="11"/>
      <x:c r="I81" s="15"/>
      <x:c r="J81" s="11"/>
      <x:c r="K81" s="11"/>
      <x:c r="L81" s="11"/>
      <x:c r="M81" s="11"/>
      <x:c r="N81" s="15"/>
      <x:c r="O81" s="14"/>
      <x:c r="P81" s="11"/>
    </x:row>
    <x:row r="82" ht="60" customHeight="1">
      <x:c r="A82" s="11"/>
      <x:c r="B82" s="11"/>
      <x:c r="C82" s="11"/>
      <x:c r="D82" s="11"/>
      <x:c r="E82" s="11"/>
      <x:c r="F82" s="15"/>
      <x:c r="G82" s="11"/>
      <x:c r="H82" s="11"/>
      <x:c r="I82" s="15"/>
      <x:c r="J82" s="11"/>
      <x:c r="K82" s="11"/>
      <x:c r="L82" s="11"/>
      <x:c r="M82" s="11"/>
      <x:c r="N82" s="15"/>
      <x:c r="O82" s="14"/>
      <x:c r="P82" s="11"/>
    </x:row>
    <x:row r="83" ht="60" customHeight="1">
      <x:c r="A83" s="11"/>
      <x:c r="B83" s="11"/>
      <x:c r="C83" s="11"/>
      <x:c r="D83" s="11"/>
      <x:c r="E83" s="11"/>
      <x:c r="F83" s="15"/>
      <x:c r="G83" s="11"/>
      <x:c r="H83" s="11"/>
      <x:c r="I83" s="15"/>
      <x:c r="J83" s="11"/>
      <x:c r="K83" s="11"/>
      <x:c r="L83" s="11"/>
      <x:c r="M83" s="11"/>
      <x:c r="N83" s="15"/>
      <x:c r="O83" s="14"/>
      <x:c r="P83" s="11"/>
    </x:row>
    <x:row r="84" ht="60" customHeight="1">
      <x:c r="A84" s="11"/>
      <x:c r="B84" s="11"/>
      <x:c r="C84" s="11"/>
      <x:c r="D84" s="11"/>
      <x:c r="E84" s="11"/>
      <x:c r="F84" s="15"/>
      <x:c r="G84" s="11"/>
      <x:c r="H84" s="11"/>
      <x:c r="I84" s="15"/>
      <x:c r="J84" s="11"/>
      <x:c r="K84" s="11"/>
      <x:c r="L84" s="11"/>
      <x:c r="M84" s="11"/>
      <x:c r="N84" s="15"/>
      <x:c r="O84" s="14"/>
      <x:c r="P84" s="11"/>
    </x:row>
    <x:row r="85" ht="60" customHeight="1">
      <x:c r="A85" s="11"/>
      <x:c r="B85" s="11"/>
      <x:c r="C85" s="11"/>
      <x:c r="D85" s="11"/>
      <x:c r="E85" s="11"/>
      <x:c r="F85" s="15"/>
      <x:c r="G85" s="11"/>
      <x:c r="H85" s="11"/>
      <x:c r="I85" s="15"/>
      <x:c r="J85" s="11"/>
      <x:c r="K85" s="11"/>
      <x:c r="L85" s="11"/>
      <x:c r="M85" s="11"/>
      <x:c r="N85" s="15"/>
      <x:c r="O85" s="14"/>
      <x:c r="P85" s="11"/>
    </x:row>
    <x:row r="86" ht="60" customHeight="1">
      <x:c r="A86" s="11"/>
      <x:c r="B86" s="11"/>
      <x:c r="C86" s="11"/>
      <x:c r="D86" s="11"/>
      <x:c r="E86" s="11"/>
      <x:c r="F86" s="15"/>
      <x:c r="G86" s="11"/>
      <x:c r="H86" s="11"/>
      <x:c r="I86" s="15"/>
      <x:c r="J86" s="11"/>
      <x:c r="K86" s="11"/>
      <x:c r="L86" s="11"/>
      <x:c r="M86" s="11"/>
      <x:c r="N86" s="15"/>
      <x:c r="O86" s="14"/>
      <x:c r="P86" s="11"/>
    </x:row>
    <x:row r="87" ht="60" customHeight="1">
      <x:c r="A87" s="11"/>
      <x:c r="B87" s="11"/>
      <x:c r="C87" s="11"/>
      <x:c r="D87" s="11"/>
      <x:c r="E87" s="11"/>
      <x:c r="F87" s="15"/>
      <x:c r="G87" s="11"/>
      <x:c r="H87" s="11"/>
      <x:c r="I87" s="15"/>
      <x:c r="J87" s="11"/>
      <x:c r="K87" s="11"/>
      <x:c r="L87" s="11"/>
      <x:c r="M87" s="11"/>
      <x:c r="N87" s="15"/>
      <x:c r="O87" s="14"/>
      <x:c r="P87" s="11"/>
    </x:row>
    <x:row r="88" ht="60" customHeight="1">
      <x:c r="A88" s="11"/>
      <x:c r="B88" s="11"/>
      <x:c r="C88" s="11"/>
      <x:c r="D88" s="11"/>
      <x:c r="E88" s="11"/>
      <x:c r="F88" s="15"/>
      <x:c r="G88" s="11"/>
      <x:c r="H88" s="11"/>
      <x:c r="I88" s="15"/>
      <x:c r="J88" s="11"/>
      <x:c r="K88" s="11"/>
      <x:c r="L88" s="11"/>
      <x:c r="M88" s="11"/>
      <x:c r="N88" s="15"/>
      <x:c r="O88" s="14"/>
      <x:c r="P88" s="11"/>
    </x:row>
    <x:row r="89" ht="60" customHeight="1">
      <x:c r="A89" s="11"/>
      <x:c r="B89" s="11"/>
      <x:c r="C89" s="11"/>
      <x:c r="D89" s="11"/>
      <x:c r="E89" s="11"/>
      <x:c r="F89" s="15"/>
      <x:c r="G89" s="11"/>
      <x:c r="H89" s="11"/>
      <x:c r="I89" s="15"/>
      <x:c r="J89" s="11"/>
      <x:c r="K89" s="11"/>
      <x:c r="L89" s="11"/>
      <x:c r="M89" s="11"/>
      <x:c r="N89" s="15"/>
      <x:c r="O89" s="14"/>
      <x:c r="P89" s="11"/>
    </x:row>
    <x:row r="90" ht="60" customHeight="1">
      <x:c r="A90" s="11"/>
      <x:c r="B90" s="11"/>
      <x:c r="C90" s="11"/>
      <x:c r="D90" s="11"/>
      <x:c r="E90" s="11"/>
      <x:c r="F90" s="15"/>
      <x:c r="G90" s="11"/>
      <x:c r="H90" s="11"/>
      <x:c r="I90" s="15"/>
      <x:c r="J90" s="11"/>
      <x:c r="K90" s="11"/>
      <x:c r="L90" s="11"/>
      <x:c r="M90" s="11"/>
      <x:c r="N90" s="15"/>
      <x:c r="O90" s="14"/>
      <x:c r="P90" s="11"/>
    </x:row>
    <x:row r="91" ht="60" customHeight="1">
      <x:c r="A91" s="11"/>
      <x:c r="B91" s="11"/>
      <x:c r="C91" s="11"/>
      <x:c r="D91" s="11"/>
      <x:c r="E91" s="11"/>
      <x:c r="F91" s="15"/>
      <x:c r="G91" s="11"/>
      <x:c r="H91" s="11"/>
      <x:c r="I91" s="15"/>
      <x:c r="J91" s="11"/>
      <x:c r="K91" s="11"/>
      <x:c r="L91" s="11"/>
      <x:c r="M91" s="11"/>
      <x:c r="N91" s="15"/>
      <x:c r="O91" s="14"/>
      <x:c r="P91" s="11"/>
    </x:row>
    <x:row r="92" ht="60" customHeight="1">
      <x:c r="A92" s="11"/>
      <x:c r="B92" s="11"/>
      <x:c r="C92" s="11"/>
      <x:c r="D92" s="11"/>
      <x:c r="E92" s="11"/>
      <x:c r="F92" s="15"/>
      <x:c r="G92" s="11"/>
      <x:c r="H92" s="11"/>
      <x:c r="I92" s="15"/>
      <x:c r="J92" s="11"/>
      <x:c r="K92" s="11"/>
      <x:c r="L92" s="11"/>
      <x:c r="M92" s="11"/>
      <x:c r="N92" s="15"/>
      <x:c r="O92" s="14"/>
      <x:c r="P92" s="11"/>
    </x:row>
    <x:row r="93" ht="60" customHeight="1">
      <x:c r="A93" s="11"/>
      <x:c r="B93" s="11"/>
      <x:c r="C93" s="11"/>
      <x:c r="D93" s="11"/>
      <x:c r="E93" s="11"/>
      <x:c r="F93" s="15"/>
      <x:c r="G93" s="11"/>
      <x:c r="H93" s="11"/>
      <x:c r="I93" s="15"/>
      <x:c r="J93" s="11"/>
      <x:c r="K93" s="11"/>
      <x:c r="L93" s="11"/>
      <x:c r="M93" s="11"/>
      <x:c r="N93" s="15"/>
      <x:c r="O93" s="14"/>
      <x:c r="P93" s="11"/>
    </x:row>
    <x:row r="94" ht="60" customHeight="1">
      <x:c r="A94" s="11"/>
      <x:c r="B94" s="11"/>
      <x:c r="C94" s="11"/>
      <x:c r="D94" s="11"/>
      <x:c r="E94" s="11"/>
      <x:c r="F94" s="15"/>
      <x:c r="G94" s="11"/>
      <x:c r="H94" s="11"/>
      <x:c r="I94" s="15"/>
      <x:c r="J94" s="11"/>
      <x:c r="K94" s="11"/>
      <x:c r="L94" s="11"/>
      <x:c r="M94" s="11"/>
      <x:c r="N94" s="15"/>
      <x:c r="O94" s="14"/>
      <x:c r="P94" s="11"/>
    </x:row>
    <x:row r="95" ht="60" customHeight="1">
      <x:c r="A95" s="11"/>
      <x:c r="B95" s="11"/>
      <x:c r="C95" s="11"/>
      <x:c r="D95" s="11"/>
      <x:c r="E95" s="11"/>
      <x:c r="F95" s="15"/>
      <x:c r="G95" s="11"/>
      <x:c r="H95" s="11"/>
      <x:c r="I95" s="15"/>
      <x:c r="J95" s="11"/>
      <x:c r="K95" s="11"/>
      <x:c r="L95" s="11"/>
      <x:c r="M95" s="11"/>
      <x:c r="N95" s="15"/>
      <x:c r="O95" s="14"/>
      <x:c r="P95" s="11"/>
    </x:row>
    <x:row r="96" ht="60" customHeight="1">
      <x:c r="A96" s="11"/>
      <x:c r="B96" s="11"/>
      <x:c r="C96" s="11"/>
      <x:c r="D96" s="11"/>
      <x:c r="E96" s="11"/>
      <x:c r="F96" s="15"/>
      <x:c r="G96" s="11"/>
      <x:c r="H96" s="11"/>
      <x:c r="I96" s="15"/>
      <x:c r="J96" s="11"/>
      <x:c r="K96" s="11"/>
      <x:c r="L96" s="11"/>
      <x:c r="M96" s="11"/>
      <x:c r="N96" s="15"/>
      <x:c r="O96" s="14"/>
      <x:c r="P96" s="11"/>
    </x:row>
    <x:row r="97" ht="60" customHeight="1">
      <x:c r="A97" s="11"/>
      <x:c r="B97" s="11"/>
      <x:c r="C97" s="11"/>
      <x:c r="D97" s="11"/>
      <x:c r="E97" s="11"/>
      <x:c r="F97" s="15"/>
      <x:c r="G97" s="11"/>
      <x:c r="H97" s="11"/>
      <x:c r="I97" s="15"/>
      <x:c r="J97" s="11"/>
      <x:c r="K97" s="11"/>
      <x:c r="L97" s="11"/>
      <x:c r="M97" s="11"/>
      <x:c r="N97" s="15"/>
      <x:c r="O97" s="14"/>
      <x:c r="P97" s="11"/>
    </x:row>
    <x:row r="98" ht="60" customHeight="1">
      <x:c r="A98" s="11"/>
      <x:c r="B98" s="11"/>
      <x:c r="C98" s="11"/>
      <x:c r="D98" s="11"/>
      <x:c r="E98" s="11"/>
      <x:c r="F98" s="15"/>
      <x:c r="G98" s="11"/>
      <x:c r="H98" s="11"/>
      <x:c r="I98" s="15"/>
      <x:c r="J98" s="11"/>
      <x:c r="K98" s="11"/>
      <x:c r="L98" s="11"/>
      <x:c r="M98" s="11"/>
      <x:c r="N98" s="15"/>
      <x:c r="O98" s="14"/>
      <x:c r="P98" s="11"/>
    </x:row>
    <x:row r="99" ht="60" customHeight="1">
      <x:c r="A99" s="11"/>
      <x:c r="B99" s="11"/>
      <x:c r="C99" s="11"/>
      <x:c r="D99" s="11"/>
      <x:c r="E99" s="11"/>
      <x:c r="F99" s="15"/>
      <x:c r="G99" s="11"/>
      <x:c r="H99" s="11"/>
      <x:c r="I99" s="15"/>
      <x:c r="J99" s="11"/>
      <x:c r="K99" s="11"/>
      <x:c r="L99" s="11"/>
      <x:c r="M99" s="11"/>
      <x:c r="N99" s="15"/>
      <x:c r="O99" s="14"/>
      <x:c r="P99" s="11"/>
    </x:row>
    <x:row r="100" ht="60" customHeight="1">
      <x:c r="A100" s="11"/>
      <x:c r="B100" s="11"/>
      <x:c r="C100" s="11"/>
      <x:c r="D100" s="11"/>
      <x:c r="E100" s="11"/>
      <x:c r="F100" s="15"/>
      <x:c r="G100" s="11"/>
      <x:c r="H100" s="11"/>
      <x:c r="I100" s="15"/>
      <x:c r="J100" s="11"/>
      <x:c r="K100" s="11"/>
      <x:c r="L100" s="11"/>
      <x:c r="M100" s="11"/>
      <x:c r="N100" s="15"/>
      <x:c r="O100" s="14"/>
      <x:c r="P100" s="11"/>
    </x:row>
    <x:row r="101" ht="60" customHeight="1">
      <x:c r="A101" s="11"/>
      <x:c r="B101" s="11"/>
      <x:c r="C101" s="11"/>
      <x:c r="D101" s="11"/>
      <x:c r="E101" s="11"/>
      <x:c r="F101" s="15"/>
      <x:c r="G101" s="11"/>
      <x:c r="H101" s="11"/>
      <x:c r="I101" s="15"/>
      <x:c r="J101" s="11"/>
      <x:c r="K101" s="11"/>
      <x:c r="L101" s="11"/>
      <x:c r="M101" s="11"/>
      <x:c r="N101" s="15"/>
      <x:c r="O101" s="14"/>
      <x:c r="P101" s="11"/>
    </x:row>
    <x:row r="102" ht="60" customHeight="1">
      <x:c r="A102" s="11"/>
      <x:c r="B102" s="11"/>
      <x:c r="C102" s="11"/>
      <x:c r="D102" s="11"/>
      <x:c r="E102" s="11"/>
      <x:c r="F102" s="15"/>
      <x:c r="G102" s="11"/>
      <x:c r="H102" s="11"/>
      <x:c r="I102" s="15"/>
      <x:c r="J102" s="11"/>
      <x:c r="K102" s="11"/>
      <x:c r="L102" s="11"/>
      <x:c r="M102" s="11"/>
      <x:c r="N102" s="15"/>
      <x:c r="O102" s="14"/>
      <x:c r="P102" s="11"/>
    </x:row>
    <x:row r="103" ht="60" customHeight="1">
      <x:c r="A103" s="11"/>
      <x:c r="B103" s="11"/>
      <x:c r="C103" s="11"/>
      <x:c r="D103" s="11"/>
      <x:c r="E103" s="11"/>
      <x:c r="F103" s="15"/>
      <x:c r="G103" s="11"/>
      <x:c r="H103" s="11"/>
      <x:c r="I103" s="15"/>
      <x:c r="J103" s="11"/>
      <x:c r="K103" s="11"/>
      <x:c r="L103" s="11"/>
      <x:c r="M103" s="11"/>
      <x:c r="N103" s="15"/>
      <x:c r="O103" s="14"/>
      <x:c r="P103" s="11"/>
    </x:row>
    <x:row r="104" ht="60" customHeight="1">
      <x:c r="A104" s="11"/>
      <x:c r="B104" s="11"/>
      <x:c r="C104" s="11"/>
      <x:c r="D104" s="11"/>
      <x:c r="E104" s="11"/>
      <x:c r="F104" s="15"/>
      <x:c r="G104" s="11"/>
      <x:c r="H104" s="11"/>
      <x:c r="I104" s="15"/>
      <x:c r="J104" s="11"/>
      <x:c r="K104" s="11"/>
      <x:c r="L104" s="11"/>
      <x:c r="M104" s="11"/>
      <x:c r="N104" s="15"/>
      <x:c r="O104" s="14"/>
      <x:c r="P104" s="11"/>
    </x:row>
    <x:row r="105" ht="60" customHeight="1">
      <x:c r="A105" s="11"/>
      <x:c r="B105" s="11"/>
      <x:c r="C105" s="11"/>
      <x:c r="D105" s="11"/>
      <x:c r="E105" s="11"/>
      <x:c r="F105" s="15"/>
      <x:c r="G105" s="11"/>
      <x:c r="H105" s="11"/>
      <x:c r="I105" s="15"/>
      <x:c r="J105" s="11"/>
      <x:c r="K105" s="11"/>
      <x:c r="L105" s="11"/>
      <x:c r="M105" s="11"/>
      <x:c r="N105" s="15"/>
      <x:c r="O105" s="14"/>
      <x:c r="P105" s="11"/>
    </x:row>
    <x:row r="106" ht="60" customHeight="1">
      <x:c r="A106" s="11"/>
      <x:c r="B106" s="11"/>
      <x:c r="C106" s="11"/>
      <x:c r="D106" s="11"/>
      <x:c r="E106" s="11"/>
      <x:c r="F106" s="15"/>
      <x:c r="G106" s="11"/>
      <x:c r="H106" s="11"/>
      <x:c r="I106" s="15"/>
      <x:c r="J106" s="11"/>
      <x:c r="K106" s="11"/>
      <x:c r="L106" s="11"/>
      <x:c r="M106" s="11"/>
      <x:c r="N106" s="15"/>
      <x:c r="O106" s="14"/>
      <x:c r="P106" s="11"/>
    </x:row>
    <x:row r="107" ht="60" customHeight="1">
      <x:c r="A107" s="11"/>
      <x:c r="B107" s="11"/>
      <x:c r="C107" s="11"/>
      <x:c r="D107" s="11"/>
      <x:c r="E107" s="11"/>
      <x:c r="F107" s="15"/>
      <x:c r="G107" s="11"/>
      <x:c r="H107" s="11"/>
      <x:c r="I107" s="15"/>
      <x:c r="J107" s="11"/>
      <x:c r="K107" s="11"/>
      <x:c r="L107" s="11"/>
      <x:c r="M107" s="11"/>
      <x:c r="N107" s="15"/>
      <x:c r="O107" s="14"/>
      <x:c r="P107" s="11"/>
    </x:row>
    <x:row r="108" ht="60" customHeight="1">
      <x:c r="A108" s="11"/>
      <x:c r="B108" s="11"/>
      <x:c r="C108" s="11"/>
      <x:c r="D108" s="11"/>
      <x:c r="E108" s="11"/>
      <x:c r="F108" s="15"/>
      <x:c r="G108" s="11"/>
      <x:c r="H108" s="11"/>
      <x:c r="I108" s="15"/>
      <x:c r="J108" s="11"/>
      <x:c r="K108" s="11"/>
      <x:c r="L108" s="11"/>
      <x:c r="M108" s="11"/>
      <x:c r="N108" s="15"/>
      <x:c r="O108" s="14"/>
      <x:c r="P108" s="11"/>
    </x:row>
    <x:row r="109" ht="60" customHeight="1">
      <x:c r="A109" s="11"/>
      <x:c r="B109" s="11"/>
      <x:c r="C109" s="11"/>
      <x:c r="D109" s="11"/>
      <x:c r="E109" s="11"/>
      <x:c r="F109" s="15"/>
      <x:c r="G109" s="11"/>
      <x:c r="H109" s="11"/>
      <x:c r="I109" s="15"/>
      <x:c r="J109" s="11"/>
      <x:c r="K109" s="11"/>
      <x:c r="L109" s="11"/>
      <x:c r="M109" s="11"/>
      <x:c r="N109" s="15"/>
      <x:c r="O109" s="14"/>
      <x:c r="P109" s="11"/>
    </x:row>
    <x:row r="110" ht="60" customHeight="1">
      <x:c r="A110" s="11"/>
      <x:c r="B110" s="11"/>
      <x:c r="C110" s="11"/>
      <x:c r="D110" s="11"/>
      <x:c r="E110" s="11"/>
      <x:c r="F110" s="15"/>
      <x:c r="G110" s="11"/>
      <x:c r="H110" s="11"/>
      <x:c r="I110" s="15"/>
      <x:c r="J110" s="11"/>
      <x:c r="K110" s="11"/>
      <x:c r="L110" s="11"/>
      <x:c r="M110" s="11"/>
      <x:c r="N110" s="15"/>
      <x:c r="O110" s="14"/>
      <x:c r="P110" s="11"/>
    </x:row>
    <x:row r="111" ht="60" customHeight="1">
      <x:c r="A111" s="11"/>
      <x:c r="B111" s="11"/>
      <x:c r="C111" s="11"/>
      <x:c r="D111" s="11"/>
      <x:c r="E111" s="11"/>
      <x:c r="F111" s="15"/>
      <x:c r="G111" s="11"/>
      <x:c r="H111" s="11"/>
      <x:c r="I111" s="15"/>
      <x:c r="J111" s="11"/>
      <x:c r="K111" s="11"/>
      <x:c r="L111" s="11"/>
      <x:c r="M111" s="11"/>
      <x:c r="N111" s="15"/>
      <x:c r="O111" s="14"/>
      <x:c r="P111" s="11"/>
    </x:row>
    <x:row r="112" ht="60" customHeight="1">
      <x:c r="A112" s="11"/>
      <x:c r="B112" s="11"/>
      <x:c r="C112" s="11"/>
      <x:c r="D112" s="11"/>
      <x:c r="E112" s="11"/>
      <x:c r="F112" s="15"/>
      <x:c r="G112" s="11"/>
      <x:c r="H112" s="11"/>
      <x:c r="I112" s="15"/>
      <x:c r="J112" s="11"/>
      <x:c r="K112" s="11"/>
      <x:c r="L112" s="11"/>
      <x:c r="M112" s="11"/>
      <x:c r="N112" s="15"/>
      <x:c r="O112" s="14"/>
      <x:c r="P112" s="11"/>
    </x:row>
    <x:row r="113" ht="60" customHeight="1">
      <x:c r="A113" s="11"/>
      <x:c r="B113" s="11"/>
      <x:c r="C113" s="11"/>
      <x:c r="D113" s="11"/>
      <x:c r="E113" s="11"/>
      <x:c r="F113" s="15"/>
      <x:c r="G113" s="11"/>
      <x:c r="H113" s="11"/>
      <x:c r="I113" s="15"/>
      <x:c r="J113" s="11"/>
      <x:c r="K113" s="11"/>
      <x:c r="L113" s="11"/>
      <x:c r="M113" s="11"/>
      <x:c r="N113" s="15"/>
      <x:c r="O113" s="14"/>
      <x:c r="P113" s="11"/>
    </x:row>
    <x:row r="114" ht="60" customHeight="1">
      <x:c r="A114" s="11"/>
      <x:c r="B114" s="11"/>
      <x:c r="C114" s="11"/>
      <x:c r="D114" s="11"/>
      <x:c r="E114" s="11"/>
      <x:c r="F114" s="15"/>
      <x:c r="G114" s="11"/>
      <x:c r="H114" s="11"/>
      <x:c r="I114" s="15"/>
      <x:c r="J114" s="11"/>
      <x:c r="K114" s="11"/>
      <x:c r="L114" s="11"/>
      <x:c r="M114" s="11"/>
      <x:c r="N114" s="15"/>
      <x:c r="O114" s="14"/>
      <x:c r="P114" s="11"/>
    </x:row>
    <x:row r="115" ht="60" customHeight="1">
      <x:c r="A115" s="11"/>
      <x:c r="B115" s="11"/>
      <x:c r="C115" s="11"/>
      <x:c r="D115" s="11"/>
      <x:c r="E115" s="11"/>
      <x:c r="F115" s="15"/>
      <x:c r="G115" s="11"/>
      <x:c r="H115" s="11"/>
      <x:c r="I115" s="15"/>
      <x:c r="J115" s="11"/>
      <x:c r="K115" s="11"/>
      <x:c r="L115" s="11"/>
      <x:c r="M115" s="11"/>
      <x:c r="N115" s="15"/>
      <x:c r="O115" s="14"/>
      <x:c r="P115" s="11"/>
    </x:row>
    <x:row r="116" ht="60" customHeight="1">
      <x:c r="A116" s="11"/>
      <x:c r="B116" s="11"/>
      <x:c r="C116" s="11"/>
      <x:c r="D116" s="11"/>
      <x:c r="E116" s="11"/>
      <x:c r="F116" s="15"/>
      <x:c r="G116" s="11"/>
      <x:c r="H116" s="11"/>
      <x:c r="I116" s="15"/>
      <x:c r="J116" s="11"/>
      <x:c r="K116" s="11"/>
      <x:c r="L116" s="11"/>
      <x:c r="M116" s="11"/>
      <x:c r="N116" s="15"/>
      <x:c r="O116" s="14"/>
      <x:c r="P116" s="11"/>
    </x:row>
    <x:row r="117" ht="60" customHeight="1">
      <x:c r="A117" s="11"/>
      <x:c r="B117" s="11"/>
      <x:c r="C117" s="11"/>
      <x:c r="D117" s="11"/>
      <x:c r="E117" s="11"/>
      <x:c r="F117" s="15"/>
      <x:c r="G117" s="11"/>
      <x:c r="H117" s="11"/>
      <x:c r="I117" s="15"/>
      <x:c r="J117" s="11"/>
      <x:c r="K117" s="11"/>
      <x:c r="L117" s="11"/>
      <x:c r="M117" s="11"/>
      <x:c r="N117" s="15"/>
      <x:c r="O117" s="14"/>
      <x:c r="P117" s="11"/>
    </x:row>
    <x:row r="118" ht="60" customHeight="1">
      <x:c r="A118" s="11"/>
      <x:c r="B118" s="11"/>
      <x:c r="C118" s="11"/>
      <x:c r="D118" s="11"/>
      <x:c r="E118" s="11"/>
      <x:c r="F118" s="15"/>
      <x:c r="G118" s="11"/>
      <x:c r="H118" s="11"/>
      <x:c r="I118" s="15"/>
      <x:c r="J118" s="11"/>
      <x:c r="K118" s="11"/>
      <x:c r="L118" s="11"/>
      <x:c r="M118" s="11"/>
      <x:c r="N118" s="15"/>
      <x:c r="O118" s="14"/>
      <x:c r="P118" s="11"/>
    </x:row>
    <x:row r="119" ht="60" customHeight="1">
      <x:c r="A119" s="11"/>
      <x:c r="B119" s="11"/>
      <x:c r="C119" s="11"/>
      <x:c r="D119" s="11"/>
      <x:c r="E119" s="11"/>
      <x:c r="F119" s="15"/>
      <x:c r="G119" s="11"/>
      <x:c r="H119" s="11"/>
      <x:c r="I119" s="15"/>
      <x:c r="J119" s="11"/>
      <x:c r="K119" s="11"/>
      <x:c r="L119" s="11"/>
      <x:c r="M119" s="11"/>
      <x:c r="N119" s="15"/>
      <x:c r="O119" s="14"/>
      <x:c r="P119" s="11"/>
    </x:row>
    <x:row r="120" ht="60" customHeight="1">
      <x:c r="A120" s="11"/>
      <x:c r="B120" s="11"/>
      <x:c r="C120" s="11"/>
      <x:c r="D120" s="11"/>
      <x:c r="E120" s="11"/>
      <x:c r="F120" s="15"/>
      <x:c r="G120" s="11"/>
      <x:c r="H120" s="11"/>
      <x:c r="I120" s="15"/>
      <x:c r="J120" s="11"/>
      <x:c r="K120" s="11"/>
      <x:c r="L120" s="11"/>
      <x:c r="M120" s="11"/>
      <x:c r="N120" s="15"/>
      <x:c r="O120" s="14"/>
      <x:c r="P120" s="11"/>
    </x:row>
    <x:row r="121" ht="60" customHeight="1">
      <x:c r="A121" s="11"/>
      <x:c r="B121" s="11"/>
      <x:c r="C121" s="11"/>
      <x:c r="D121" s="11"/>
      <x:c r="E121" s="11"/>
      <x:c r="F121" s="15"/>
      <x:c r="G121" s="11"/>
      <x:c r="H121" s="11"/>
      <x:c r="I121" s="15"/>
      <x:c r="J121" s="11"/>
      <x:c r="K121" s="11"/>
      <x:c r="L121" s="11"/>
      <x:c r="M121" s="11"/>
      <x:c r="N121" s="15"/>
      <x:c r="O121" s="14"/>
      <x:c r="P121" s="11"/>
    </x:row>
    <x:row r="122" ht="60" customHeight="1">
      <x:c r="A122" s="11"/>
      <x:c r="B122" s="11"/>
      <x:c r="C122" s="11"/>
      <x:c r="D122" s="11"/>
      <x:c r="E122" s="11"/>
      <x:c r="F122" s="15"/>
      <x:c r="G122" s="11"/>
      <x:c r="H122" s="11"/>
      <x:c r="I122" s="15"/>
      <x:c r="J122" s="11"/>
      <x:c r="K122" s="11"/>
      <x:c r="L122" s="11"/>
      <x:c r="M122" s="11"/>
      <x:c r="N122" s="15"/>
      <x:c r="O122" s="14"/>
      <x:c r="P122" s="11"/>
    </x:row>
    <x:row r="123" ht="60" customHeight="1">
      <x:c r="A123" s="11"/>
      <x:c r="B123" s="11"/>
      <x:c r="C123" s="11"/>
      <x:c r="D123" s="11"/>
      <x:c r="E123" s="11"/>
      <x:c r="F123" s="15"/>
      <x:c r="G123" s="11"/>
      <x:c r="H123" s="11"/>
      <x:c r="I123" s="15"/>
      <x:c r="J123" s="11"/>
      <x:c r="K123" s="11"/>
      <x:c r="L123" s="11"/>
      <x:c r="M123" s="11"/>
      <x:c r="N123" s="15"/>
      <x:c r="O123" s="14"/>
      <x:c r="P123" s="11"/>
    </x:row>
    <x:row r="124" ht="60" customHeight="1">
      <x:c r="A124" s="11"/>
      <x:c r="B124" s="11"/>
      <x:c r="C124" s="11"/>
      <x:c r="D124" s="11"/>
      <x:c r="E124" s="11"/>
      <x:c r="F124" s="15"/>
      <x:c r="G124" s="11"/>
      <x:c r="H124" s="11"/>
      <x:c r="I124" s="15"/>
      <x:c r="J124" s="11"/>
      <x:c r="K124" s="11"/>
      <x:c r="L124" s="11"/>
      <x:c r="M124" s="11"/>
      <x:c r="N124" s="15"/>
      <x:c r="O124" s="14"/>
      <x:c r="P124" s="11"/>
    </x:row>
    <x:row r="125" ht="60" customHeight="1">
      <x:c r="A125" s="11"/>
      <x:c r="B125" s="11"/>
      <x:c r="C125" s="11"/>
      <x:c r="D125" s="11"/>
      <x:c r="E125" s="11"/>
      <x:c r="F125" s="15"/>
      <x:c r="G125" s="11"/>
      <x:c r="H125" s="11"/>
      <x:c r="I125" s="15"/>
      <x:c r="J125" s="11"/>
      <x:c r="K125" s="11"/>
      <x:c r="L125" s="11"/>
      <x:c r="M125" s="11"/>
      <x:c r="N125" s="15"/>
      <x:c r="O125" s="14"/>
      <x:c r="P125" s="11"/>
    </x:row>
    <x:row r="126" ht="60" customHeight="1">
      <x:c r="A126" s="11"/>
      <x:c r="B126" s="11"/>
      <x:c r="C126" s="11"/>
      <x:c r="D126" s="11"/>
      <x:c r="E126" s="11"/>
      <x:c r="F126" s="15"/>
      <x:c r="G126" s="11"/>
      <x:c r="H126" s="11"/>
      <x:c r="I126" s="15"/>
      <x:c r="J126" s="11"/>
      <x:c r="K126" s="11"/>
      <x:c r="L126" s="11"/>
      <x:c r="M126" s="11"/>
      <x:c r="N126" s="15"/>
      <x:c r="O126" s="14"/>
      <x:c r="P126" s="11"/>
    </x:row>
    <x:row r="127" ht="60" customHeight="1">
      <x:c r="A127" s="11"/>
      <x:c r="B127" s="11"/>
      <x:c r="C127" s="11"/>
      <x:c r="D127" s="11"/>
      <x:c r="E127" s="11"/>
      <x:c r="F127" s="15"/>
      <x:c r="G127" s="11"/>
      <x:c r="H127" s="11"/>
      <x:c r="I127" s="15"/>
      <x:c r="J127" s="11"/>
      <x:c r="K127" s="11"/>
      <x:c r="L127" s="11"/>
      <x:c r="M127" s="11"/>
      <x:c r="N127" s="15"/>
      <x:c r="O127" s="14"/>
      <x:c r="P127" s="11"/>
    </x:row>
    <x:row r="128" ht="60" customHeight="1">
      <x:c r="A128" s="11"/>
      <x:c r="B128" s="11"/>
      <x:c r="C128" s="11"/>
      <x:c r="D128" s="11"/>
      <x:c r="E128" s="11"/>
      <x:c r="F128" s="15"/>
      <x:c r="G128" s="11"/>
      <x:c r="H128" s="11"/>
      <x:c r="I128" s="15"/>
      <x:c r="J128" s="11"/>
      <x:c r="K128" s="11"/>
      <x:c r="L128" s="11"/>
      <x:c r="M128" s="11"/>
      <x:c r="N128" s="15"/>
      <x:c r="O128" s="14"/>
      <x:c r="P128" s="11"/>
    </x:row>
    <x:row r="129" ht="60" customHeight="1">
      <x:c r="A129" s="11"/>
      <x:c r="B129" s="11"/>
      <x:c r="C129" s="11"/>
      <x:c r="D129" s="11"/>
      <x:c r="E129" s="11"/>
      <x:c r="F129" s="15"/>
      <x:c r="G129" s="11"/>
      <x:c r="H129" s="11"/>
      <x:c r="I129" s="15"/>
      <x:c r="J129" s="11"/>
      <x:c r="K129" s="11"/>
      <x:c r="L129" s="11"/>
      <x:c r="M129" s="11"/>
      <x:c r="N129" s="15"/>
      <x:c r="O129" s="14"/>
      <x:c r="P129" s="11"/>
    </x:row>
    <x:row r="130" ht="60" customHeight="1">
      <x:c r="A130" s="11"/>
      <x:c r="B130" s="11"/>
      <x:c r="C130" s="11"/>
      <x:c r="D130" s="11"/>
      <x:c r="E130" s="11"/>
      <x:c r="F130" s="15"/>
      <x:c r="G130" s="11"/>
      <x:c r="H130" s="11"/>
      <x:c r="I130" s="15"/>
      <x:c r="J130" s="11"/>
      <x:c r="K130" s="11"/>
      <x:c r="L130" s="11"/>
      <x:c r="M130" s="11"/>
      <x:c r="N130" s="15"/>
      <x:c r="O130" s="14"/>
      <x:c r="P130" s="11"/>
    </x:row>
    <x:row r="131" ht="60" customHeight="1">
      <x:c r="A131" s="11"/>
      <x:c r="B131" s="11"/>
      <x:c r="C131" s="11"/>
      <x:c r="D131" s="11"/>
      <x:c r="E131" s="11"/>
      <x:c r="F131" s="15"/>
      <x:c r="G131" s="11"/>
      <x:c r="H131" s="11"/>
      <x:c r="I131" s="15"/>
      <x:c r="J131" s="11"/>
      <x:c r="K131" s="11"/>
      <x:c r="L131" s="11"/>
      <x:c r="M131" s="11"/>
      <x:c r="N131" s="15"/>
      <x:c r="O131" s="14"/>
      <x:c r="P131" s="11"/>
    </x:row>
    <x:row r="132" ht="60" customHeight="1">
      <x:c r="A132" s="11"/>
      <x:c r="B132" s="11"/>
      <x:c r="C132" s="11"/>
      <x:c r="D132" s="11"/>
      <x:c r="E132" s="11"/>
      <x:c r="F132" s="15"/>
      <x:c r="G132" s="11"/>
      <x:c r="H132" s="11"/>
      <x:c r="I132" s="15"/>
      <x:c r="J132" s="11"/>
      <x:c r="K132" s="11"/>
      <x:c r="L132" s="11"/>
      <x:c r="M132" s="11"/>
      <x:c r="N132" s="15"/>
      <x:c r="O132" s="14"/>
      <x:c r="P132" s="11"/>
    </x:row>
    <x:row r="133" ht="60" customHeight="1">
      <x:c r="A133" s="11"/>
      <x:c r="B133" s="11"/>
      <x:c r="C133" s="11"/>
      <x:c r="D133" s="11"/>
      <x:c r="E133" s="11"/>
      <x:c r="F133" s="15"/>
      <x:c r="G133" s="11"/>
      <x:c r="H133" s="11"/>
      <x:c r="I133" s="15"/>
      <x:c r="J133" s="11"/>
      <x:c r="K133" s="11"/>
      <x:c r="L133" s="11"/>
      <x:c r="M133" s="11"/>
      <x:c r="N133" s="15"/>
      <x:c r="O133" s="14"/>
      <x:c r="P133" s="11"/>
    </x:row>
    <x:row r="134" ht="60" customHeight="1">
      <x:c r="A134" s="11"/>
      <x:c r="B134" s="11"/>
      <x:c r="C134" s="11"/>
      <x:c r="D134" s="11"/>
      <x:c r="E134" s="11"/>
      <x:c r="F134" s="15"/>
      <x:c r="G134" s="11"/>
      <x:c r="H134" s="11"/>
      <x:c r="I134" s="15"/>
      <x:c r="J134" s="11"/>
      <x:c r="K134" s="11"/>
      <x:c r="L134" s="11"/>
      <x:c r="M134" s="11"/>
      <x:c r="N134" s="15"/>
      <x:c r="O134" s="14"/>
      <x:c r="P134" s="11"/>
    </x:row>
    <x:row r="135" ht="60" customHeight="1">
      <x:c r="A135" s="11"/>
      <x:c r="B135" s="11"/>
      <x:c r="C135" s="11"/>
      <x:c r="D135" s="11"/>
      <x:c r="E135" s="11"/>
      <x:c r="F135" s="15"/>
      <x:c r="G135" s="11"/>
      <x:c r="H135" s="11"/>
      <x:c r="I135" s="15"/>
      <x:c r="J135" s="11"/>
      <x:c r="K135" s="11"/>
      <x:c r="L135" s="11"/>
      <x:c r="M135" s="11"/>
      <x:c r="N135" s="15"/>
      <x:c r="O135" s="14"/>
      <x:c r="P135" s="11"/>
    </x:row>
    <x:row r="136" ht="60" customHeight="1">
      <x:c r="A136" s="11"/>
      <x:c r="B136" s="11"/>
      <x:c r="C136" s="11"/>
      <x:c r="D136" s="11"/>
      <x:c r="E136" s="11"/>
      <x:c r="F136" s="15"/>
      <x:c r="G136" s="11"/>
      <x:c r="H136" s="11"/>
      <x:c r="I136" s="15"/>
      <x:c r="J136" s="11"/>
      <x:c r="K136" s="11"/>
      <x:c r="L136" s="11"/>
      <x:c r="M136" s="11"/>
      <x:c r="N136" s="15"/>
      <x:c r="O136" s="14"/>
      <x:c r="P136" s="11"/>
    </x:row>
    <x:row r="137" ht="60" customHeight="1">
      <x:c r="A137" s="11"/>
      <x:c r="B137" s="11"/>
      <x:c r="C137" s="11"/>
      <x:c r="D137" s="11"/>
      <x:c r="E137" s="11"/>
      <x:c r="F137" s="15"/>
      <x:c r="G137" s="11"/>
      <x:c r="H137" s="11"/>
      <x:c r="I137" s="15"/>
      <x:c r="J137" s="11"/>
      <x:c r="K137" s="11"/>
      <x:c r="L137" s="11"/>
      <x:c r="M137" s="11"/>
      <x:c r="N137" s="15"/>
      <x:c r="O137" s="14"/>
      <x:c r="P137" s="11"/>
    </x:row>
    <x:row r="138" ht="60" customHeight="1">
      <x:c r="A138" s="11"/>
      <x:c r="B138" s="11"/>
      <x:c r="C138" s="11"/>
      <x:c r="D138" s="11"/>
      <x:c r="E138" s="11"/>
      <x:c r="F138" s="15"/>
      <x:c r="G138" s="11"/>
      <x:c r="H138" s="11"/>
      <x:c r="I138" s="15"/>
      <x:c r="J138" s="11"/>
      <x:c r="K138" s="11"/>
      <x:c r="L138" s="11"/>
      <x:c r="M138" s="11"/>
      <x:c r="N138" s="15"/>
      <x:c r="O138" s="14"/>
      <x:c r="P138" s="11"/>
    </x:row>
    <x:row r="139" ht="60" customHeight="1">
      <x:c r="A139" s="11"/>
      <x:c r="B139" s="11"/>
      <x:c r="C139" s="11"/>
      <x:c r="D139" s="11"/>
      <x:c r="E139" s="11"/>
      <x:c r="F139" s="15"/>
      <x:c r="G139" s="11"/>
      <x:c r="H139" s="11"/>
      <x:c r="I139" s="15"/>
      <x:c r="J139" s="11"/>
      <x:c r="K139" s="11"/>
      <x:c r="L139" s="11"/>
      <x:c r="M139" s="11"/>
      <x:c r="N139" s="15"/>
      <x:c r="O139" s="14"/>
      <x:c r="P139" s="11"/>
    </x:row>
    <x:row r="140" ht="60" customHeight="1">
      <x:c r="A140" s="11"/>
      <x:c r="B140" s="11"/>
      <x:c r="C140" s="11"/>
      <x:c r="D140" s="11"/>
      <x:c r="E140" s="11"/>
      <x:c r="F140" s="15"/>
      <x:c r="G140" s="11"/>
      <x:c r="H140" s="11"/>
      <x:c r="I140" s="15"/>
      <x:c r="J140" s="11"/>
      <x:c r="K140" s="11"/>
      <x:c r="L140" s="11"/>
      <x:c r="M140" s="11"/>
      <x:c r="N140" s="15"/>
      <x:c r="O140" s="14"/>
      <x:c r="P140" s="11"/>
    </x:row>
    <x:row r="141" ht="60" customHeight="1">
      <x:c r="A141" s="11"/>
      <x:c r="B141" s="11"/>
      <x:c r="C141" s="11"/>
      <x:c r="D141" s="11"/>
      <x:c r="E141" s="11"/>
      <x:c r="F141" s="15"/>
      <x:c r="G141" s="11"/>
      <x:c r="H141" s="11"/>
      <x:c r="I141" s="15"/>
      <x:c r="J141" s="11"/>
      <x:c r="K141" s="11"/>
      <x:c r="L141" s="11"/>
      <x:c r="M141" s="11"/>
      <x:c r="N141" s="15"/>
      <x:c r="O141" s="14"/>
      <x:c r="P141" s="11"/>
    </x:row>
    <x:row r="142" ht="60" customHeight="1">
      <x:c r="A142" s="11"/>
      <x:c r="B142" s="11"/>
      <x:c r="C142" s="11"/>
      <x:c r="D142" s="11"/>
      <x:c r="E142" s="11"/>
      <x:c r="F142" s="15"/>
      <x:c r="G142" s="11"/>
      <x:c r="H142" s="11"/>
      <x:c r="I142" s="15"/>
      <x:c r="J142" s="11"/>
      <x:c r="K142" s="11"/>
      <x:c r="L142" s="11"/>
      <x:c r="M142" s="11"/>
      <x:c r="N142" s="15"/>
      <x:c r="O142" s="14"/>
      <x:c r="P142" s="11"/>
    </x:row>
    <x:row r="143" ht="60" customHeight="1">
      <x:c r="A143" s="11"/>
      <x:c r="B143" s="11"/>
      <x:c r="C143" s="11"/>
      <x:c r="D143" s="11"/>
      <x:c r="E143" s="11"/>
      <x:c r="F143" s="15"/>
      <x:c r="G143" s="11"/>
      <x:c r="H143" s="11"/>
      <x:c r="I143" s="15"/>
      <x:c r="J143" s="11"/>
      <x:c r="K143" s="11"/>
      <x:c r="L143" s="11"/>
      <x:c r="M143" s="11"/>
      <x:c r="N143" s="15"/>
      <x:c r="O143" s="14"/>
      <x:c r="P143" s="11"/>
    </x:row>
    <x:row r="144" ht="60" customHeight="1">
      <x:c r="A144" s="11"/>
      <x:c r="B144" s="11"/>
      <x:c r="C144" s="11"/>
      <x:c r="D144" s="11"/>
      <x:c r="E144" s="11"/>
      <x:c r="F144" s="15"/>
      <x:c r="G144" s="11"/>
      <x:c r="H144" s="11"/>
      <x:c r="I144" s="15"/>
      <x:c r="J144" s="11"/>
      <x:c r="K144" s="11"/>
      <x:c r="L144" s="11"/>
      <x:c r="M144" s="11"/>
      <x:c r="N144" s="15"/>
      <x:c r="O144" s="14"/>
      <x:c r="P144" s="11"/>
    </x:row>
    <x:row r="145" ht="60" customHeight="1">
      <x:c r="A145" s="11"/>
      <x:c r="B145" s="11"/>
      <x:c r="C145" s="11"/>
      <x:c r="D145" s="11"/>
      <x:c r="E145" s="11"/>
      <x:c r="F145" s="15"/>
      <x:c r="G145" s="11"/>
      <x:c r="H145" s="11"/>
      <x:c r="I145" s="15"/>
      <x:c r="J145" s="11"/>
      <x:c r="K145" s="11"/>
      <x:c r="L145" s="11"/>
      <x:c r="M145" s="11"/>
      <x:c r="N145" s="15"/>
      <x:c r="O145" s="14"/>
      <x:c r="P145" s="11"/>
    </x:row>
    <x:row r="146" ht="60" customHeight="1">
      <x:c r="A146" s="11"/>
      <x:c r="B146" s="11"/>
      <x:c r="C146" s="11"/>
      <x:c r="D146" s="11"/>
      <x:c r="E146" s="11"/>
      <x:c r="F146" s="15"/>
      <x:c r="G146" s="11"/>
      <x:c r="H146" s="11"/>
      <x:c r="I146" s="15"/>
      <x:c r="J146" s="11"/>
      <x:c r="K146" s="11"/>
      <x:c r="L146" s="11"/>
      <x:c r="M146" s="11"/>
      <x:c r="N146" s="15"/>
      <x:c r="O146" s="14"/>
      <x:c r="P146" s="11"/>
    </x:row>
    <x:row r="147" ht="60" customHeight="1">
      <x:c r="A147" s="11"/>
      <x:c r="B147" s="11"/>
      <x:c r="C147" s="11"/>
      <x:c r="D147" s="11"/>
      <x:c r="E147" s="11"/>
      <x:c r="F147" s="15"/>
      <x:c r="G147" s="11"/>
      <x:c r="H147" s="11"/>
      <x:c r="I147" s="15"/>
      <x:c r="J147" s="11"/>
      <x:c r="K147" s="11"/>
      <x:c r="L147" s="11"/>
      <x:c r="M147" s="11"/>
      <x:c r="N147" s="15"/>
      <x:c r="O147" s="14"/>
      <x:c r="P147" s="11"/>
    </x:row>
    <x:row r="148" ht="60" customHeight="1">
      <x:c r="A148" s="11"/>
      <x:c r="B148" s="11"/>
      <x:c r="C148" s="11"/>
      <x:c r="D148" s="11"/>
      <x:c r="E148" s="11"/>
      <x:c r="F148" s="15"/>
      <x:c r="G148" s="11"/>
      <x:c r="H148" s="11"/>
      <x:c r="I148" s="15"/>
      <x:c r="J148" s="11"/>
      <x:c r="K148" s="11"/>
      <x:c r="L148" s="11"/>
      <x:c r="M148" s="11"/>
      <x:c r="N148" s="15"/>
      <x:c r="O148" s="14"/>
      <x:c r="P148" s="11"/>
    </x:row>
    <x:row r="149" ht="60" customHeight="1">
      <x:c r="A149" s="11"/>
      <x:c r="B149" s="11"/>
      <x:c r="C149" s="11"/>
      <x:c r="D149" s="11"/>
      <x:c r="E149" s="11"/>
      <x:c r="F149" s="15"/>
      <x:c r="G149" s="11"/>
      <x:c r="H149" s="11"/>
      <x:c r="I149" s="15"/>
      <x:c r="J149" s="11"/>
      <x:c r="K149" s="11"/>
      <x:c r="L149" s="11"/>
      <x:c r="M149" s="11"/>
      <x:c r="N149" s="15"/>
      <x:c r="O149" s="14"/>
      <x:c r="P149" s="11"/>
    </x:row>
    <x:row r="150" ht="60" customHeight="1">
      <x:c r="A150" s="11"/>
      <x:c r="B150" s="11"/>
      <x:c r="C150" s="11"/>
      <x:c r="D150" s="11"/>
      <x:c r="E150" s="11"/>
      <x:c r="F150" s="15"/>
      <x:c r="G150" s="11"/>
      <x:c r="H150" s="11"/>
      <x:c r="I150" s="15"/>
      <x:c r="J150" s="11"/>
      <x:c r="K150" s="11"/>
      <x:c r="L150" s="11"/>
      <x:c r="M150" s="11"/>
      <x:c r="N150" s="15"/>
      <x:c r="O150" s="14"/>
      <x:c r="P150" s="11"/>
    </x:row>
    <x:row r="151" ht="60" customHeight="1">
      <x:c r="A151" s="11"/>
      <x:c r="B151" s="11"/>
      <x:c r="C151" s="11"/>
      <x:c r="D151" s="11"/>
      <x:c r="E151" s="11"/>
      <x:c r="F151" s="15"/>
      <x:c r="G151" s="11"/>
      <x:c r="H151" s="11"/>
      <x:c r="I151" s="15"/>
      <x:c r="J151" s="11"/>
      <x:c r="K151" s="11"/>
      <x:c r="L151" s="11"/>
      <x:c r="M151" s="11"/>
      <x:c r="N151" s="15"/>
      <x:c r="O151" s="14"/>
      <x:c r="P151" s="11"/>
    </x:row>
    <x:row r="152" ht="60" customHeight="1">
      <x:c r="A152" s="11"/>
      <x:c r="B152" s="11"/>
      <x:c r="C152" s="11"/>
      <x:c r="D152" s="11"/>
      <x:c r="E152" s="11"/>
      <x:c r="F152" s="15"/>
      <x:c r="G152" s="11"/>
      <x:c r="H152" s="11"/>
      <x:c r="I152" s="15"/>
      <x:c r="J152" s="11"/>
      <x:c r="K152" s="11"/>
      <x:c r="L152" s="11"/>
      <x:c r="M152" s="11"/>
      <x:c r="N152" s="15"/>
      <x:c r="O152" s="14"/>
      <x:c r="P152" s="11"/>
    </x:row>
    <x:row r="153" ht="60" customHeight="1">
      <x:c r="A153" s="11"/>
      <x:c r="B153" s="11"/>
      <x:c r="C153" s="11"/>
      <x:c r="D153" s="11"/>
      <x:c r="E153" s="11"/>
      <x:c r="F153" s="15"/>
      <x:c r="G153" s="11"/>
      <x:c r="H153" s="11"/>
      <x:c r="I153" s="15"/>
      <x:c r="J153" s="11"/>
      <x:c r="K153" s="11"/>
      <x:c r="L153" s="11"/>
      <x:c r="M153" s="11"/>
      <x:c r="N153" s="15"/>
      <x:c r="O153" s="14"/>
      <x:c r="P153" s="11"/>
    </x:row>
    <x:row r="154" ht="60" customHeight="1">
      <x:c r="A154" s="11"/>
      <x:c r="B154" s="11"/>
      <x:c r="C154" s="11"/>
      <x:c r="D154" s="11"/>
      <x:c r="E154" s="11"/>
      <x:c r="F154" s="15"/>
      <x:c r="G154" s="11"/>
      <x:c r="H154" s="11"/>
      <x:c r="I154" s="15"/>
      <x:c r="J154" s="11"/>
      <x:c r="K154" s="11"/>
      <x:c r="L154" s="11"/>
      <x:c r="M154" s="11"/>
      <x:c r="N154" s="15"/>
      <x:c r="O154" s="14"/>
      <x:c r="P154" s="11"/>
    </x:row>
    <x:row r="155" ht="60" customHeight="1">
      <x:c r="A155" s="11"/>
      <x:c r="B155" s="11"/>
      <x:c r="C155" s="11"/>
      <x:c r="D155" s="11"/>
      <x:c r="E155" s="11"/>
      <x:c r="F155" s="15"/>
      <x:c r="G155" s="11"/>
      <x:c r="H155" s="11"/>
      <x:c r="I155" s="15"/>
      <x:c r="J155" s="11"/>
      <x:c r="K155" s="11"/>
      <x:c r="L155" s="11"/>
      <x:c r="M155" s="11"/>
      <x:c r="N155" s="15"/>
      <x:c r="O155" s="14"/>
      <x:c r="P155" s="11"/>
    </x:row>
    <x:row r="156" ht="60" customHeight="1">
      <x:c r="A156" s="11"/>
      <x:c r="B156" s="11"/>
      <x:c r="C156" s="11"/>
      <x:c r="D156" s="11"/>
      <x:c r="E156" s="11"/>
      <x:c r="F156" s="15"/>
      <x:c r="G156" s="11"/>
      <x:c r="H156" s="11"/>
      <x:c r="I156" s="15"/>
      <x:c r="J156" s="11"/>
      <x:c r="K156" s="11"/>
      <x:c r="L156" s="11"/>
      <x:c r="M156" s="11"/>
      <x:c r="N156" s="15"/>
      <x:c r="O156" s="14"/>
      <x:c r="P156" s="11"/>
    </x:row>
    <x:row r="157" ht="60" customHeight="1">
      <x:c r="A157" s="11"/>
      <x:c r="B157" s="11"/>
      <x:c r="C157" s="11"/>
      <x:c r="D157" s="11"/>
      <x:c r="E157" s="11"/>
      <x:c r="F157" s="15"/>
      <x:c r="G157" s="11"/>
      <x:c r="H157" s="11"/>
      <x:c r="I157" s="15"/>
      <x:c r="J157" s="11"/>
      <x:c r="K157" s="11"/>
      <x:c r="L157" s="11"/>
      <x:c r="M157" s="11"/>
      <x:c r="N157" s="15"/>
      <x:c r="O157" s="14"/>
      <x:c r="P157" s="11"/>
    </x:row>
    <x:row r="158" ht="60" customHeight="1">
      <x:c r="A158" s="11"/>
      <x:c r="B158" s="11"/>
      <x:c r="C158" s="11"/>
      <x:c r="D158" s="11"/>
      <x:c r="E158" s="11"/>
      <x:c r="F158" s="15"/>
      <x:c r="G158" s="11"/>
      <x:c r="H158" s="11"/>
      <x:c r="I158" s="15"/>
      <x:c r="J158" s="11"/>
      <x:c r="K158" s="11"/>
      <x:c r="L158" s="11"/>
      <x:c r="M158" s="11"/>
      <x:c r="N158" s="15"/>
      <x:c r="O158" s="14"/>
      <x:c r="P158" s="11"/>
    </x:row>
    <x:row r="159" ht="60" customHeight="1">
      <x:c r="A159" s="11"/>
      <x:c r="B159" s="11"/>
      <x:c r="C159" s="11"/>
      <x:c r="D159" s="11"/>
      <x:c r="E159" s="11"/>
      <x:c r="F159" s="15"/>
      <x:c r="G159" s="11"/>
      <x:c r="H159" s="11"/>
      <x:c r="I159" s="15"/>
      <x:c r="J159" s="11"/>
      <x:c r="K159" s="11"/>
      <x:c r="L159" s="11"/>
      <x:c r="M159" s="11"/>
      <x:c r="N159" s="15"/>
      <x:c r="O159" s="14"/>
      <x:c r="P159" s="11"/>
    </x:row>
    <x:row r="160" ht="60" customHeight="1">
      <x:c r="A160" s="11"/>
      <x:c r="B160" s="11"/>
      <x:c r="C160" s="11"/>
      <x:c r="D160" s="11"/>
      <x:c r="E160" s="11"/>
      <x:c r="F160" s="15"/>
      <x:c r="G160" s="11"/>
      <x:c r="H160" s="11"/>
      <x:c r="I160" s="15"/>
      <x:c r="J160" s="11"/>
      <x:c r="K160" s="11"/>
      <x:c r="L160" s="11"/>
      <x:c r="M160" s="11"/>
      <x:c r="N160" s="15"/>
      <x:c r="O160" s="14"/>
      <x:c r="P160" s="11"/>
    </x:row>
    <x:row r="161" ht="60" customHeight="1">
      <x:c r="A161" s="11"/>
      <x:c r="B161" s="11"/>
      <x:c r="C161" s="11"/>
      <x:c r="D161" s="11"/>
      <x:c r="E161" s="11"/>
      <x:c r="F161" s="15"/>
      <x:c r="G161" s="11"/>
      <x:c r="H161" s="11"/>
      <x:c r="I161" s="15"/>
      <x:c r="J161" s="11"/>
      <x:c r="K161" s="11"/>
      <x:c r="L161" s="11"/>
      <x:c r="M161" s="11"/>
      <x:c r="N161" s="15"/>
      <x:c r="O161" s="14"/>
      <x:c r="P161" s="11"/>
    </x:row>
    <x:row r="162" ht="60" customHeight="1">
      <x:c r="A162" s="11"/>
      <x:c r="B162" s="11"/>
      <x:c r="C162" s="11"/>
      <x:c r="D162" s="11"/>
      <x:c r="E162" s="11"/>
      <x:c r="F162" s="15"/>
      <x:c r="G162" s="11"/>
      <x:c r="H162" s="11"/>
      <x:c r="I162" s="15"/>
      <x:c r="J162" s="11"/>
      <x:c r="K162" s="11"/>
      <x:c r="L162" s="11"/>
      <x:c r="M162" s="11"/>
      <x:c r="N162" s="15"/>
      <x:c r="O162" s="14"/>
      <x:c r="P162" s="11"/>
    </x:row>
    <x:row r="163" ht="60" customHeight="1">
      <x:c r="A163" s="11"/>
      <x:c r="B163" s="11"/>
      <x:c r="C163" s="11"/>
      <x:c r="D163" s="11"/>
      <x:c r="E163" s="11"/>
      <x:c r="F163" s="15"/>
      <x:c r="G163" s="11"/>
      <x:c r="H163" s="11"/>
      <x:c r="I163" s="15"/>
      <x:c r="J163" s="11"/>
      <x:c r="K163" s="11"/>
      <x:c r="L163" s="11"/>
      <x:c r="M163" s="11"/>
      <x:c r="N163" s="15"/>
      <x:c r="O163" s="14"/>
      <x:c r="P163" s="11"/>
    </x:row>
    <x:row r="164" ht="60" customHeight="1">
      <x:c r="A164" s="11"/>
      <x:c r="B164" s="11"/>
      <x:c r="C164" s="11"/>
      <x:c r="D164" s="11"/>
      <x:c r="E164" s="11"/>
      <x:c r="F164" s="15"/>
      <x:c r="G164" s="11"/>
      <x:c r="H164" s="11"/>
      <x:c r="I164" s="15"/>
      <x:c r="J164" s="11"/>
      <x:c r="K164" s="11"/>
      <x:c r="L164" s="11"/>
      <x:c r="M164" s="11"/>
      <x:c r="N164" s="15"/>
      <x:c r="O164" s="14"/>
      <x:c r="P164" s="11"/>
    </x:row>
    <x:row r="165" ht="60" customHeight="1">
      <x:c r="A165" s="11"/>
      <x:c r="B165" s="11"/>
      <x:c r="C165" s="11"/>
      <x:c r="D165" s="11"/>
      <x:c r="E165" s="11"/>
      <x:c r="F165" s="15"/>
      <x:c r="G165" s="11"/>
      <x:c r="H165" s="11"/>
      <x:c r="I165" s="15"/>
      <x:c r="J165" s="11"/>
      <x:c r="K165" s="11"/>
      <x:c r="L165" s="11"/>
      <x:c r="M165" s="11"/>
      <x:c r="N165" s="15"/>
      <x:c r="O165" s="14"/>
      <x:c r="P165" s="11"/>
    </x:row>
    <x:row r="166" ht="60" customHeight="1">
      <x:c r="A166" s="11"/>
      <x:c r="B166" s="11"/>
      <x:c r="C166" s="11"/>
      <x:c r="D166" s="11"/>
      <x:c r="E166" s="11"/>
      <x:c r="F166" s="15"/>
      <x:c r="G166" s="11"/>
      <x:c r="H166" s="11"/>
      <x:c r="I166" s="15"/>
      <x:c r="J166" s="11"/>
      <x:c r="K166" s="11"/>
      <x:c r="L166" s="11"/>
      <x:c r="M166" s="11"/>
      <x:c r="N166" s="15"/>
      <x:c r="O166" s="14"/>
      <x:c r="P166" s="11"/>
    </x:row>
    <x:row r="167" ht="60" customHeight="1">
      <x:c r="A167" s="11"/>
      <x:c r="B167" s="11"/>
      <x:c r="C167" s="11"/>
      <x:c r="D167" s="11"/>
      <x:c r="E167" s="11"/>
      <x:c r="F167" s="15"/>
      <x:c r="G167" s="11"/>
      <x:c r="H167" s="11"/>
      <x:c r="I167" s="15"/>
      <x:c r="J167" s="11"/>
      <x:c r="K167" s="11"/>
      <x:c r="L167" s="11"/>
      <x:c r="M167" s="11"/>
      <x:c r="N167" s="15"/>
      <x:c r="O167" s="14"/>
      <x:c r="P167" s="11"/>
    </x:row>
    <x:row r="168" ht="60" customHeight="1">
      <x:c r="A168" s="11"/>
      <x:c r="B168" s="11"/>
      <x:c r="C168" s="11"/>
      <x:c r="D168" s="11"/>
      <x:c r="E168" s="11"/>
      <x:c r="F168" s="15"/>
      <x:c r="G168" s="11"/>
      <x:c r="H168" s="11"/>
      <x:c r="I168" s="15"/>
      <x:c r="J168" s="11"/>
      <x:c r="K168" s="11"/>
      <x:c r="L168" s="11"/>
      <x:c r="M168" s="11"/>
      <x:c r="N168" s="15"/>
      <x:c r="O168" s="14"/>
      <x:c r="P168" s="11"/>
    </x:row>
    <x:row r="169" ht="60" customHeight="1">
      <x:c r="A169" s="11"/>
      <x:c r="B169" s="11"/>
      <x:c r="C169" s="11"/>
      <x:c r="D169" s="11"/>
      <x:c r="E169" s="11"/>
      <x:c r="F169" s="15"/>
      <x:c r="G169" s="11"/>
      <x:c r="H169" s="11"/>
      <x:c r="I169" s="15"/>
      <x:c r="J169" s="11"/>
      <x:c r="K169" s="11"/>
      <x:c r="L169" s="11"/>
      <x:c r="M169" s="11"/>
      <x:c r="N169" s="15"/>
      <x:c r="O169" s="14"/>
      <x:c r="P169" s="11"/>
    </x:row>
    <x:row r="170" ht="60" customHeight="1">
      <x:c r="A170" s="11"/>
      <x:c r="B170" s="11"/>
      <x:c r="C170" s="11"/>
      <x:c r="D170" s="11"/>
      <x:c r="E170" s="11"/>
      <x:c r="F170" s="15"/>
      <x:c r="G170" s="11"/>
      <x:c r="H170" s="11"/>
      <x:c r="I170" s="15"/>
      <x:c r="J170" s="11"/>
      <x:c r="K170" s="11"/>
      <x:c r="L170" s="11"/>
      <x:c r="M170" s="11"/>
      <x:c r="N170" s="15"/>
      <x:c r="O170" s="14"/>
      <x:c r="P170" s="11"/>
    </x:row>
    <x:row r="171" ht="60" customHeight="1">
      <x:c r="A171" s="11"/>
      <x:c r="B171" s="11"/>
      <x:c r="C171" s="11"/>
      <x:c r="D171" s="11"/>
      <x:c r="E171" s="11"/>
      <x:c r="F171" s="15"/>
      <x:c r="G171" s="11"/>
      <x:c r="H171" s="11"/>
      <x:c r="I171" s="15"/>
      <x:c r="J171" s="11"/>
      <x:c r="K171" s="11"/>
      <x:c r="L171" s="11"/>
      <x:c r="M171" s="11"/>
      <x:c r="N171" s="15"/>
      <x:c r="O171" s="14"/>
      <x:c r="P171" s="11"/>
    </x:row>
    <x:row r="172" ht="60" customHeight="1">
      <x:c r="A172" s="11"/>
      <x:c r="B172" s="11"/>
      <x:c r="C172" s="11"/>
      <x:c r="D172" s="11"/>
      <x:c r="E172" s="11"/>
      <x:c r="F172" s="15"/>
      <x:c r="G172" s="11"/>
      <x:c r="H172" s="11"/>
      <x:c r="I172" s="15"/>
      <x:c r="J172" s="11"/>
      <x:c r="K172" s="11"/>
      <x:c r="L172" s="11"/>
      <x:c r="M172" s="11"/>
      <x:c r="N172" s="15"/>
      <x:c r="O172" s="14"/>
      <x:c r="P172" s="11"/>
    </x:row>
    <x:row r="173" ht="60" customHeight="1">
      <x:c r="A173" s="11"/>
      <x:c r="B173" s="11"/>
      <x:c r="C173" s="11"/>
      <x:c r="D173" s="11"/>
      <x:c r="E173" s="11"/>
      <x:c r="F173" s="15"/>
      <x:c r="G173" s="11"/>
      <x:c r="H173" s="11"/>
      <x:c r="I173" s="15"/>
      <x:c r="J173" s="11"/>
      <x:c r="K173" s="11"/>
      <x:c r="L173" s="11"/>
      <x:c r="M173" s="11"/>
      <x:c r="N173" s="15"/>
      <x:c r="O173" s="14"/>
      <x:c r="P173" s="11"/>
    </x:row>
    <x:row r="174" ht="60" customHeight="1">
      <x:c r="A174" s="11"/>
      <x:c r="B174" s="11"/>
      <x:c r="C174" s="11"/>
      <x:c r="D174" s="11"/>
      <x:c r="E174" s="11"/>
      <x:c r="F174" s="15"/>
      <x:c r="G174" s="11"/>
      <x:c r="H174" s="11"/>
      <x:c r="I174" s="15"/>
      <x:c r="J174" s="11"/>
      <x:c r="K174" s="11"/>
      <x:c r="L174" s="11"/>
      <x:c r="M174" s="11"/>
      <x:c r="N174" s="15"/>
      <x:c r="O174" s="14"/>
      <x:c r="P174" s="11"/>
    </x:row>
    <x:row r="175" ht="60" customHeight="1">
      <x:c r="A175" s="11"/>
      <x:c r="B175" s="11"/>
      <x:c r="C175" s="11"/>
      <x:c r="D175" s="11"/>
      <x:c r="E175" s="11"/>
      <x:c r="F175" s="15"/>
      <x:c r="G175" s="11"/>
      <x:c r="H175" s="11"/>
      <x:c r="I175" s="15"/>
      <x:c r="J175" s="11"/>
      <x:c r="K175" s="11"/>
      <x:c r="L175" s="11"/>
      <x:c r="M175" s="11"/>
      <x:c r="N175" s="15"/>
      <x:c r="O175" s="14"/>
      <x:c r="P175" s="11"/>
    </x:row>
    <x:row r="176" ht="60" customHeight="1">
      <x:c r="A176" s="11"/>
      <x:c r="B176" s="11"/>
      <x:c r="C176" s="11"/>
      <x:c r="D176" s="11"/>
      <x:c r="E176" s="11"/>
      <x:c r="F176" s="15"/>
      <x:c r="G176" s="11"/>
      <x:c r="H176" s="11"/>
      <x:c r="I176" s="15"/>
      <x:c r="J176" s="11"/>
      <x:c r="K176" s="11"/>
      <x:c r="L176" s="11"/>
      <x:c r="M176" s="11"/>
      <x:c r="N176" s="15"/>
      <x:c r="O176" s="14"/>
      <x:c r="P176" s="11"/>
    </x:row>
    <x:row r="177" ht="60" customHeight="1">
      <x:c r="A177" s="11"/>
      <x:c r="B177" s="11"/>
      <x:c r="C177" s="11"/>
      <x:c r="D177" s="11"/>
      <x:c r="E177" s="11"/>
      <x:c r="F177" s="15"/>
      <x:c r="G177" s="11"/>
      <x:c r="H177" s="11"/>
      <x:c r="I177" s="15"/>
      <x:c r="J177" s="11"/>
      <x:c r="K177" s="11"/>
      <x:c r="L177" s="11"/>
      <x:c r="M177" s="11"/>
      <x:c r="N177" s="15"/>
      <x:c r="O177" s="14"/>
      <x:c r="P177" s="11"/>
    </x:row>
    <x:row r="178" ht="60" customHeight="1">
      <x:c r="A178" s="11"/>
      <x:c r="B178" s="11"/>
      <x:c r="C178" s="11"/>
      <x:c r="D178" s="11"/>
      <x:c r="E178" s="11"/>
      <x:c r="F178" s="15"/>
      <x:c r="G178" s="11"/>
      <x:c r="H178" s="11"/>
      <x:c r="I178" s="15"/>
      <x:c r="J178" s="11"/>
      <x:c r="K178" s="11"/>
      <x:c r="L178" s="11"/>
      <x:c r="M178" s="11"/>
      <x:c r="N178" s="15"/>
      <x:c r="O178" s="14"/>
      <x:c r="P178" s="11"/>
    </x:row>
    <x:row r="179" ht="60" customHeight="1">
      <x:c r="A179" s="11"/>
      <x:c r="B179" s="11"/>
      <x:c r="C179" s="11"/>
      <x:c r="D179" s="11"/>
      <x:c r="E179" s="11"/>
      <x:c r="F179" s="15"/>
      <x:c r="G179" s="11"/>
      <x:c r="H179" s="11"/>
      <x:c r="I179" s="15"/>
      <x:c r="J179" s="11"/>
      <x:c r="K179" s="11"/>
      <x:c r="L179" s="11"/>
      <x:c r="M179" s="11"/>
      <x:c r="N179" s="15"/>
      <x:c r="O179" s="14"/>
      <x:c r="P179" s="11"/>
    </x:row>
    <x:row r="180" ht="60" customHeight="1">
      <x:c r="A180" s="11"/>
      <x:c r="B180" s="11"/>
      <x:c r="C180" s="11"/>
      <x:c r="D180" s="11"/>
      <x:c r="E180" s="11"/>
      <x:c r="F180" s="15"/>
      <x:c r="G180" s="11"/>
      <x:c r="H180" s="11"/>
      <x:c r="I180" s="15"/>
      <x:c r="J180" s="11"/>
      <x:c r="K180" s="11"/>
      <x:c r="L180" s="11"/>
      <x:c r="M180" s="11"/>
      <x:c r="N180" s="15"/>
      <x:c r="O180" s="14"/>
      <x:c r="P180" s="11"/>
    </x:row>
    <x:row r="181" ht="60" customHeight="1">
      <x:c r="A181" s="11"/>
      <x:c r="B181" s="11"/>
      <x:c r="C181" s="11"/>
      <x:c r="D181" s="11"/>
      <x:c r="E181" s="11"/>
      <x:c r="F181" s="15"/>
      <x:c r="G181" s="11"/>
      <x:c r="H181" s="11"/>
      <x:c r="I181" s="15"/>
      <x:c r="J181" s="11"/>
      <x:c r="K181" s="11"/>
      <x:c r="L181" s="11"/>
      <x:c r="M181" s="11"/>
      <x:c r="N181" s="15"/>
      <x:c r="O181" s="14"/>
      <x:c r="P181" s="11"/>
    </x:row>
    <x:row r="182" ht="60" customHeight="1">
      <x:c r="A182" s="11"/>
      <x:c r="B182" s="11"/>
      <x:c r="C182" s="11"/>
      <x:c r="D182" s="11"/>
      <x:c r="E182" s="11"/>
      <x:c r="F182" s="15"/>
      <x:c r="G182" s="11"/>
      <x:c r="H182" s="11"/>
      <x:c r="I182" s="15"/>
      <x:c r="J182" s="11"/>
      <x:c r="K182" s="11"/>
      <x:c r="L182" s="11"/>
      <x:c r="M182" s="11"/>
      <x:c r="N182" s="15"/>
      <x:c r="O182" s="14"/>
      <x:c r="P182" s="11"/>
    </x:row>
    <x:row r="183" ht="60" customHeight="1">
      <x:c r="A183" s="11"/>
      <x:c r="B183" s="11"/>
      <x:c r="C183" s="11"/>
      <x:c r="D183" s="11"/>
      <x:c r="E183" s="11"/>
      <x:c r="F183" s="15"/>
      <x:c r="G183" s="11"/>
      <x:c r="H183" s="11"/>
      <x:c r="I183" s="15"/>
      <x:c r="J183" s="11"/>
      <x:c r="K183" s="11"/>
      <x:c r="L183" s="11"/>
      <x:c r="M183" s="11"/>
      <x:c r="N183" s="15"/>
      <x:c r="O183" s="14"/>
      <x:c r="P183" s="11"/>
    </x:row>
    <x:row r="184" ht="60" customHeight="1">
      <x:c r="A184" s="11"/>
      <x:c r="B184" s="11"/>
      <x:c r="C184" s="11"/>
      <x:c r="D184" s="11"/>
      <x:c r="E184" s="11"/>
      <x:c r="F184" s="15"/>
      <x:c r="G184" s="11"/>
      <x:c r="H184" s="11"/>
      <x:c r="I184" s="15"/>
      <x:c r="J184" s="11"/>
      <x:c r="K184" s="11"/>
      <x:c r="L184" s="11"/>
      <x:c r="M184" s="11"/>
      <x:c r="N184" s="15"/>
      <x:c r="O184" s="14"/>
      <x:c r="P184" s="11"/>
    </x:row>
    <x:row r="185" ht="60" customHeight="1">
      <x:c r="A185" s="11"/>
      <x:c r="B185" s="11"/>
      <x:c r="C185" s="11"/>
      <x:c r="D185" s="11"/>
      <x:c r="E185" s="11"/>
      <x:c r="F185" s="15"/>
      <x:c r="G185" s="11"/>
      <x:c r="H185" s="11"/>
      <x:c r="I185" s="15"/>
      <x:c r="J185" s="11"/>
      <x:c r="K185" s="11"/>
      <x:c r="L185" s="11"/>
      <x:c r="M185" s="11"/>
      <x:c r="N185" s="15"/>
      <x:c r="O185" s="14"/>
      <x:c r="P185" s="11"/>
    </x:row>
    <x:row r="186" ht="60" customHeight="1">
      <x:c r="A186" s="11"/>
      <x:c r="B186" s="11"/>
      <x:c r="C186" s="11"/>
      <x:c r="D186" s="11"/>
      <x:c r="E186" s="11"/>
      <x:c r="F186" s="15"/>
      <x:c r="G186" s="11"/>
      <x:c r="H186" s="11"/>
      <x:c r="I186" s="15"/>
      <x:c r="J186" s="11"/>
      <x:c r="K186" s="11"/>
      <x:c r="L186" s="11"/>
      <x:c r="M186" s="11"/>
      <x:c r="N186" s="15"/>
      <x:c r="O186" s="14"/>
      <x:c r="P186" s="11"/>
    </x:row>
    <x:row r="187" ht="60" customHeight="1">
      <x:c r="A187" s="11"/>
      <x:c r="B187" s="11"/>
      <x:c r="C187" s="11"/>
      <x:c r="D187" s="11"/>
      <x:c r="E187" s="11"/>
      <x:c r="F187" s="15"/>
      <x:c r="G187" s="11"/>
      <x:c r="H187" s="11"/>
      <x:c r="I187" s="15"/>
      <x:c r="J187" s="11"/>
      <x:c r="K187" s="11"/>
      <x:c r="L187" s="11"/>
      <x:c r="M187" s="11"/>
      <x:c r="N187" s="15"/>
      <x:c r="O187" s="14"/>
      <x:c r="P187" s="11"/>
    </x:row>
    <x:row r="188" ht="60" customHeight="1">
      <x:c r="A188" s="11"/>
      <x:c r="B188" s="11"/>
      <x:c r="C188" s="11"/>
      <x:c r="D188" s="11"/>
      <x:c r="E188" s="11"/>
      <x:c r="F188" s="15"/>
      <x:c r="G188" s="11"/>
      <x:c r="H188" s="11"/>
      <x:c r="I188" s="15"/>
      <x:c r="J188" s="11"/>
      <x:c r="K188" s="11"/>
      <x:c r="L188" s="11"/>
      <x:c r="M188" s="11"/>
      <x:c r="N188" s="15"/>
      <x:c r="O188" s="14"/>
      <x:c r="P188" s="11"/>
    </x:row>
    <x:row r="189" ht="60" customHeight="1">
      <x:c r="A189" s="11"/>
      <x:c r="B189" s="11"/>
      <x:c r="C189" s="11"/>
      <x:c r="D189" s="11"/>
      <x:c r="E189" s="11"/>
      <x:c r="F189" s="15"/>
      <x:c r="G189" s="11"/>
      <x:c r="H189" s="11"/>
      <x:c r="I189" s="15"/>
      <x:c r="J189" s="11"/>
      <x:c r="K189" s="11"/>
      <x:c r="L189" s="11"/>
      <x:c r="M189" s="11"/>
      <x:c r="N189" s="15"/>
      <x:c r="O189" s="14"/>
      <x:c r="P189" s="11"/>
    </x:row>
    <x:row r="190" ht="60" customHeight="1">
      <x:c r="A190" s="11"/>
      <x:c r="B190" s="11"/>
      <x:c r="C190" s="11"/>
      <x:c r="D190" s="11"/>
      <x:c r="E190" s="11"/>
      <x:c r="F190" s="15"/>
      <x:c r="G190" s="11"/>
      <x:c r="H190" s="11"/>
      <x:c r="I190" s="15"/>
      <x:c r="J190" s="11"/>
      <x:c r="K190" s="11"/>
      <x:c r="L190" s="11"/>
      <x:c r="M190" s="11"/>
      <x:c r="N190" s="15"/>
      <x:c r="O190" s="14"/>
      <x:c r="P190" s="11"/>
    </x:row>
    <x:row r="191" ht="60" customHeight="1">
      <x:c r="A191" s="11"/>
      <x:c r="B191" s="11"/>
      <x:c r="C191" s="11"/>
      <x:c r="D191" s="11"/>
      <x:c r="E191" s="11"/>
      <x:c r="F191" s="15"/>
      <x:c r="G191" s="11"/>
      <x:c r="H191" s="11"/>
      <x:c r="I191" s="15"/>
      <x:c r="J191" s="11"/>
      <x:c r="K191" s="11"/>
      <x:c r="L191" s="11"/>
      <x:c r="M191" s="11"/>
      <x:c r="N191" s="15"/>
      <x:c r="O191" s="14"/>
      <x:c r="P191" s="11"/>
    </x:row>
    <x:row r="192" ht="60" customHeight="1">
      <x:c r="A192" s="11"/>
      <x:c r="B192" s="11"/>
      <x:c r="C192" s="11"/>
      <x:c r="D192" s="11"/>
      <x:c r="E192" s="11"/>
      <x:c r="F192" s="15"/>
      <x:c r="G192" s="11"/>
      <x:c r="H192" s="11"/>
      <x:c r="I192" s="15"/>
      <x:c r="J192" s="11"/>
      <x:c r="K192" s="11"/>
      <x:c r="L192" s="11"/>
      <x:c r="M192" s="11"/>
      <x:c r="N192" s="15"/>
      <x:c r="O192" s="14"/>
      <x:c r="P192" s="11"/>
    </x:row>
    <x:row r="193" ht="60" customHeight="1">
      <x:c r="A193" s="11"/>
      <x:c r="B193" s="11"/>
      <x:c r="C193" s="11"/>
      <x:c r="D193" s="11"/>
      <x:c r="E193" s="11"/>
      <x:c r="F193" s="15"/>
      <x:c r="G193" s="11"/>
      <x:c r="H193" s="11"/>
      <x:c r="I193" s="15"/>
      <x:c r="J193" s="11"/>
      <x:c r="K193" s="11"/>
      <x:c r="L193" s="11"/>
      <x:c r="M193" s="11"/>
      <x:c r="N193" s="15"/>
      <x:c r="O193" s="14"/>
      <x:c r="P193" s="11"/>
    </x:row>
    <x:row r="194" ht="60" customHeight="1">
      <x:c r="A194" s="11"/>
      <x:c r="B194" s="11"/>
      <x:c r="C194" s="11"/>
      <x:c r="D194" s="11"/>
      <x:c r="E194" s="11"/>
      <x:c r="F194" s="15"/>
      <x:c r="G194" s="11"/>
      <x:c r="H194" s="11"/>
      <x:c r="I194" s="15"/>
      <x:c r="J194" s="11"/>
      <x:c r="K194" s="11"/>
      <x:c r="L194" s="11"/>
      <x:c r="M194" s="11"/>
      <x:c r="N194" s="15"/>
      <x:c r="O194" s="14"/>
      <x:c r="P194" s="11"/>
    </x:row>
    <x:row r="195" ht="60" customHeight="1">
      <x:c r="A195" s="11"/>
      <x:c r="B195" s="11"/>
      <x:c r="C195" s="11"/>
      <x:c r="D195" s="11"/>
      <x:c r="E195" s="11"/>
      <x:c r="F195" s="15"/>
      <x:c r="G195" s="11"/>
      <x:c r="H195" s="11"/>
      <x:c r="I195" s="15"/>
      <x:c r="J195" s="11"/>
      <x:c r="K195" s="11"/>
      <x:c r="L195" s="11"/>
      <x:c r="M195" s="11"/>
      <x:c r="N195" s="15"/>
      <x:c r="O195" s="14"/>
      <x:c r="P195" s="11"/>
    </x:row>
    <x:row r="196" ht="60" customHeight="1">
      <x:c r="A196" s="11"/>
      <x:c r="B196" s="11"/>
      <x:c r="C196" s="11"/>
      <x:c r="D196" s="11"/>
      <x:c r="E196" s="11"/>
      <x:c r="F196" s="15"/>
      <x:c r="G196" s="11"/>
      <x:c r="H196" s="11"/>
      <x:c r="I196" s="15"/>
      <x:c r="J196" s="11"/>
      <x:c r="K196" s="11"/>
      <x:c r="L196" s="11"/>
      <x:c r="M196" s="11"/>
      <x:c r="N196" s="15"/>
      <x:c r="O196" s="14"/>
      <x:c r="P196" s="11"/>
    </x:row>
    <x:row r="197" ht="60" customHeight="1">
      <x:c r="A197" s="11"/>
      <x:c r="B197" s="11"/>
      <x:c r="C197" s="11"/>
      <x:c r="D197" s="11"/>
      <x:c r="E197" s="11"/>
      <x:c r="F197" s="15"/>
      <x:c r="G197" s="11"/>
      <x:c r="H197" s="11"/>
      <x:c r="I197" s="15"/>
      <x:c r="J197" s="11"/>
      <x:c r="K197" s="11"/>
      <x:c r="L197" s="11"/>
      <x:c r="M197" s="11"/>
      <x:c r="N197" s="15"/>
      <x:c r="O197" s="14"/>
      <x:c r="P197" s="11"/>
    </x:row>
    <x:row r="198" ht="60" customHeight="1">
      <x:c r="A198" s="11"/>
      <x:c r="B198" s="11"/>
      <x:c r="C198" s="11"/>
      <x:c r="D198" s="11"/>
      <x:c r="E198" s="11"/>
      <x:c r="F198" s="15"/>
      <x:c r="G198" s="11"/>
      <x:c r="H198" s="11"/>
      <x:c r="I198" s="15"/>
      <x:c r="J198" s="11"/>
      <x:c r="K198" s="11"/>
      <x:c r="L198" s="11"/>
      <x:c r="M198" s="11"/>
      <x:c r="N198" s="15"/>
      <x:c r="O198" s="14"/>
      <x:c r="P198" s="11"/>
    </x:row>
    <x:row r="199" ht="60" customHeight="1">
      <x:c r="A199" s="11"/>
      <x:c r="B199" s="11"/>
      <x:c r="C199" s="11"/>
      <x:c r="D199" s="11"/>
      <x:c r="E199" s="11"/>
      <x:c r="F199" s="15"/>
      <x:c r="G199" s="11"/>
      <x:c r="H199" s="11"/>
      <x:c r="I199" s="15"/>
      <x:c r="J199" s="11"/>
      <x:c r="K199" s="11"/>
      <x:c r="L199" s="11"/>
      <x:c r="M199" s="11"/>
      <x:c r="N199" s="15"/>
      <x:c r="O199" s="14"/>
      <x:c r="P199" s="11"/>
    </x:row>
    <x:row r="200" ht="60" customHeight="1">
      <x:c r="A200" s="11"/>
      <x:c r="B200" s="11"/>
      <x:c r="C200" s="11"/>
      <x:c r="D200" s="11"/>
      <x:c r="E200" s="11"/>
      <x:c r="F200" s="15"/>
      <x:c r="G200" s="11"/>
      <x:c r="H200" s="11"/>
      <x:c r="I200" s="15"/>
      <x:c r="J200" s="11"/>
      <x:c r="K200" s="11"/>
      <x:c r="L200" s="11"/>
      <x:c r="M200" s="11"/>
      <x:c r="N200" s="15"/>
      <x:c r="O200" s="14"/>
      <x:c r="P200" s="11"/>
    </x:row>
    <x:row r="201" ht="60" customHeight="1">
      <x:c r="A201" s="11"/>
      <x:c r="B201" s="11"/>
      <x:c r="C201" s="11"/>
      <x:c r="D201" s="11"/>
      <x:c r="E201" s="11"/>
      <x:c r="F201" s="15"/>
      <x:c r="G201" s="11"/>
      <x:c r="H201" s="11"/>
      <x:c r="I201" s="15"/>
      <x:c r="J201" s="11"/>
      <x:c r="K201" s="11"/>
      <x:c r="L201" s="11"/>
      <x:c r="M201" s="11"/>
      <x:c r="N201" s="15"/>
      <x:c r="O201" s="14"/>
      <x:c r="P201" s="11"/>
    </x:row>
    <x:row r="202" ht="60" customHeight="1">
      <x:c r="A202" s="11"/>
      <x:c r="B202" s="11"/>
      <x:c r="C202" s="11"/>
      <x:c r="D202" s="11"/>
      <x:c r="E202" s="11"/>
      <x:c r="F202" s="15"/>
      <x:c r="G202" s="11"/>
      <x:c r="H202" s="11"/>
      <x:c r="I202" s="15"/>
      <x:c r="J202" s="11"/>
      <x:c r="K202" s="11"/>
      <x:c r="L202" s="11"/>
      <x:c r="M202" s="11"/>
      <x:c r="N202" s="15"/>
      <x:c r="O202" s="14"/>
      <x:c r="P202" s="11"/>
    </x:row>
    <x:row r="203" ht="60" customHeight="1">
      <x:c r="A203" s="11"/>
      <x:c r="B203" s="11"/>
      <x:c r="C203" s="11"/>
      <x:c r="D203" s="11"/>
      <x:c r="E203" s="11"/>
      <x:c r="F203" s="15"/>
      <x:c r="G203" s="11"/>
      <x:c r="H203" s="11"/>
      <x:c r="I203" s="15"/>
      <x:c r="J203" s="11"/>
      <x:c r="K203" s="11"/>
      <x:c r="L203" s="11"/>
      <x:c r="M203" s="11"/>
      <x:c r="N203" s="15"/>
      <x:c r="O203" s="14"/>
      <x:c r="P203" s="11"/>
    </x:row>
    <x:row r="204" ht="60" customHeight="1">
      <x:c r="A204" s="11"/>
      <x:c r="B204" s="11"/>
      <x:c r="C204" s="11"/>
      <x:c r="D204" s="11"/>
      <x:c r="E204" s="11"/>
      <x:c r="F204" s="15"/>
      <x:c r="G204" s="11"/>
      <x:c r="H204" s="11"/>
      <x:c r="I204" s="15"/>
      <x:c r="J204" s="11"/>
      <x:c r="K204" s="11"/>
      <x:c r="L204" s="11"/>
      <x:c r="M204" s="11"/>
      <x:c r="N204" s="15"/>
      <x:c r="O204" s="14"/>
      <x:c r="P204" s="11"/>
    </x:row>
    <x:row r="205" ht="60" customHeight="1">
      <x:c r="A205" s="11"/>
      <x:c r="B205" s="11"/>
      <x:c r="C205" s="11"/>
      <x:c r="D205" s="11"/>
      <x:c r="E205" s="11"/>
      <x:c r="F205" s="15"/>
      <x:c r="G205" s="11"/>
      <x:c r="H205" s="11"/>
      <x:c r="I205" s="15"/>
      <x:c r="J205" s="11"/>
      <x:c r="K205" s="11"/>
      <x:c r="L205" s="11"/>
      <x:c r="M205" s="11"/>
      <x:c r="N205" s="15"/>
      <x:c r="O205" s="14"/>
      <x:c r="P205" s="11"/>
    </x:row>
    <x:row r="206" ht="60" customHeight="1">
      <x:c r="A206" s="11"/>
      <x:c r="B206" s="11"/>
      <x:c r="C206" s="11"/>
      <x:c r="D206" s="11"/>
      <x:c r="E206" s="11"/>
      <x:c r="F206" s="15"/>
      <x:c r="G206" s="11"/>
      <x:c r="H206" s="11"/>
      <x:c r="I206" s="15"/>
      <x:c r="J206" s="11"/>
      <x:c r="K206" s="11"/>
      <x:c r="L206" s="11"/>
      <x:c r="M206" s="11"/>
      <x:c r="N206" s="15"/>
      <x:c r="O206" s="14"/>
      <x:c r="P206" s="11"/>
    </x:row>
  </x:sheetData>
  <x:conditionalFormatting sqref="J7:J206">
    <x:cfRule type="containsText" dxfId="4" priority="1" operator="containsText" text="Conflict"/>
  </x:conditionalFormatting>
  <x:dataValidations count="1">
    <x:dataValidation type="list" sqref="J7:J206">
      <x:formula1>"Open,In Progress,Ready for Verification,Closed,Conflict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e6baef70da40a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34" hidden="0" customWidth="1"/>
    <x:col min="8" max="8" width="34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QA/QC status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Inspection ID</x:v>
      </x:c>
      <x:c r="B6" s="8" t="str">
        <x:v>Project ID</x:v>
      </x:c>
      <x:c r="C6" s="8" t="str">
        <x:v>WBS ID</x:v>
      </x:c>
      <x:c r="D6" s="8" t="str">
        <x:v>Record Type</x:v>
      </x:c>
      <x:c r="E6" s="8" t="str">
        <x:v>Description</x:v>
      </x:c>
      <x:c r="F6" s="8" t="str">
        <x:v>Method Standard Reference</x:v>
      </x:c>
      <x:c r="G6" s="8" t="str">
        <x:v>Acceptance Criterion</x:v>
      </x:c>
      <x:c r="H6" s="8" t="str">
        <x:v>Observed Result</x:v>
      </x:c>
      <x:c r="I6" s="8" t="str">
        <x:v>Inspection Date</x:v>
      </x:c>
      <x:c r="J6" s="8" t="str">
        <x:v>Owner</x:v>
      </x:c>
      <x:c r="K6" s="8" t="str">
        <x:v>Status</x:v>
      </x:c>
      <x:c r="L6" s="8" t="str">
        <x:v>Evidence Reference</x:v>
      </x:c>
      <x:c r="M6" s="8" t="str">
        <x:v>Reviewer</x:v>
      </x:c>
      <x:c r="N6" s="8" t="str">
        <x:v>Review Date</x:v>
      </x:c>
      <x:c r="O6" s="8" t="str">
        <x:v>Revision</x:v>
      </x:c>
      <x:c r="P6" s="8" t="str">
        <x:v>Source Reference</x:v>
      </x:c>
    </x:row>
    <x:row r="7" ht="60" customHeight="1">
      <x:c r="A7" s="11"/>
      <x:c r="B7" s="11"/>
      <x:c r="C7" s="11"/>
      <x:c r="D7" s="11"/>
      <x:c r="E7" s="11"/>
      <x:c r="F7" s="11"/>
      <x:c r="G7" s="11"/>
      <x:c r="H7" s="11"/>
      <x:c r="I7" s="15"/>
      <x:c r="J7" s="11"/>
      <x:c r="K7" s="11"/>
      <x:c r="L7" s="11"/>
      <x:c r="M7" s="11"/>
      <x:c r="N7" s="15"/>
      <x:c r="O7" s="14"/>
      <x:c r="P7" s="11"/>
    </x:row>
    <x:row r="8" ht="60" customHeight="1">
      <x:c r="A8" s="11"/>
      <x:c r="B8" s="11"/>
      <x:c r="C8" s="11"/>
      <x:c r="D8" s="11"/>
      <x:c r="E8" s="11"/>
      <x:c r="F8" s="11"/>
      <x:c r="G8" s="11"/>
      <x:c r="H8" s="11"/>
      <x:c r="I8" s="15"/>
      <x:c r="J8" s="11"/>
      <x:c r="K8" s="11"/>
      <x:c r="L8" s="11"/>
      <x:c r="M8" s="11"/>
      <x:c r="N8" s="15"/>
      <x:c r="O8" s="14"/>
      <x:c r="P8" s="11"/>
    </x:row>
    <x:row r="9" ht="60" customHeight="1">
      <x:c r="A9" s="11"/>
      <x:c r="B9" s="11"/>
      <x:c r="C9" s="11"/>
      <x:c r="D9" s="11"/>
      <x:c r="E9" s="11"/>
      <x:c r="F9" s="11"/>
      <x:c r="G9" s="11"/>
      <x:c r="H9" s="11"/>
      <x:c r="I9" s="15"/>
      <x:c r="J9" s="11"/>
      <x:c r="K9" s="11"/>
      <x:c r="L9" s="11"/>
      <x:c r="M9" s="11"/>
      <x:c r="N9" s="15"/>
      <x:c r="O9" s="14"/>
      <x:c r="P9" s="11"/>
    </x:row>
    <x:row r="10" ht="60" customHeight="1">
      <x:c r="A10" s="11"/>
      <x:c r="B10" s="11"/>
      <x:c r="C10" s="11"/>
      <x:c r="D10" s="11"/>
      <x:c r="E10" s="11"/>
      <x:c r="F10" s="11"/>
      <x:c r="G10" s="11"/>
      <x:c r="H10" s="11"/>
      <x:c r="I10" s="15"/>
      <x:c r="J10" s="11"/>
      <x:c r="K10" s="11"/>
      <x:c r="L10" s="11"/>
      <x:c r="M10" s="11"/>
      <x:c r="N10" s="15"/>
      <x:c r="O10" s="14"/>
      <x:c r="P10" s="11"/>
    </x:row>
    <x:row r="11" ht="60" customHeight="1">
      <x:c r="A11" s="11"/>
      <x:c r="B11" s="11"/>
      <x:c r="C11" s="11"/>
      <x:c r="D11" s="11"/>
      <x:c r="E11" s="11"/>
      <x:c r="F11" s="11"/>
      <x:c r="G11" s="11"/>
      <x:c r="H11" s="11"/>
      <x:c r="I11" s="15"/>
      <x:c r="J11" s="11"/>
      <x:c r="K11" s="11"/>
      <x:c r="L11" s="11"/>
      <x:c r="M11" s="11"/>
      <x:c r="N11" s="15"/>
      <x:c r="O11" s="14"/>
      <x:c r="P11" s="11"/>
    </x:row>
    <x:row r="12" ht="60" customHeight="1">
      <x:c r="A12" s="11"/>
      <x:c r="B12" s="11"/>
      <x:c r="C12" s="11"/>
      <x:c r="D12" s="11"/>
      <x:c r="E12" s="11"/>
      <x:c r="F12" s="11"/>
      <x:c r="G12" s="11"/>
      <x:c r="H12" s="11"/>
      <x:c r="I12" s="15"/>
      <x:c r="J12" s="11"/>
      <x:c r="K12" s="11"/>
      <x:c r="L12" s="11"/>
      <x:c r="M12" s="11"/>
      <x:c r="N12" s="15"/>
      <x:c r="O12" s="14"/>
      <x:c r="P12" s="11"/>
    </x:row>
    <x:row r="13" ht="60" customHeight="1">
      <x:c r="A13" s="11"/>
      <x:c r="B13" s="11"/>
      <x:c r="C13" s="11"/>
      <x:c r="D13" s="11"/>
      <x:c r="E13" s="11"/>
      <x:c r="F13" s="11"/>
      <x:c r="G13" s="11"/>
      <x:c r="H13" s="11"/>
      <x:c r="I13" s="15"/>
      <x:c r="J13" s="11"/>
      <x:c r="K13" s="11"/>
      <x:c r="L13" s="11"/>
      <x:c r="M13" s="11"/>
      <x:c r="N13" s="15"/>
      <x:c r="O13" s="14"/>
      <x:c r="P13" s="11"/>
    </x:row>
    <x:row r="14" ht="60" customHeight="1">
      <x:c r="A14" s="11"/>
      <x:c r="B14" s="11"/>
      <x:c r="C14" s="11"/>
      <x:c r="D14" s="11"/>
      <x:c r="E14" s="11"/>
      <x:c r="F14" s="11"/>
      <x:c r="G14" s="11"/>
      <x:c r="H14" s="11"/>
      <x:c r="I14" s="15"/>
      <x:c r="J14" s="11"/>
      <x:c r="K14" s="11"/>
      <x:c r="L14" s="11"/>
      <x:c r="M14" s="11"/>
      <x:c r="N14" s="15"/>
      <x:c r="O14" s="14"/>
      <x:c r="P14" s="11"/>
    </x:row>
    <x:row r="15" ht="60" customHeight="1">
      <x:c r="A15" s="11"/>
      <x:c r="B15" s="11"/>
      <x:c r="C15" s="11"/>
      <x:c r="D15" s="11"/>
      <x:c r="E15" s="11"/>
      <x:c r="F15" s="11"/>
      <x:c r="G15" s="11"/>
      <x:c r="H15" s="11"/>
      <x:c r="I15" s="15"/>
      <x:c r="J15" s="11"/>
      <x:c r="K15" s="11"/>
      <x:c r="L15" s="11"/>
      <x:c r="M15" s="11"/>
      <x:c r="N15" s="15"/>
      <x:c r="O15" s="14"/>
      <x:c r="P15" s="11"/>
    </x:row>
    <x:row r="16" ht="60" customHeight="1">
      <x:c r="A16" s="11"/>
      <x:c r="B16" s="11"/>
      <x:c r="C16" s="11"/>
      <x:c r="D16" s="11"/>
      <x:c r="E16" s="11"/>
      <x:c r="F16" s="11"/>
      <x:c r="G16" s="11"/>
      <x:c r="H16" s="11"/>
      <x:c r="I16" s="15"/>
      <x:c r="J16" s="11"/>
      <x:c r="K16" s="11"/>
      <x:c r="L16" s="11"/>
      <x:c r="M16" s="11"/>
      <x:c r="N16" s="15"/>
      <x:c r="O16" s="14"/>
      <x:c r="P16" s="11"/>
    </x:row>
    <x:row r="17" ht="60" customHeight="1">
      <x:c r="A17" s="11"/>
      <x:c r="B17" s="11"/>
      <x:c r="C17" s="11"/>
      <x:c r="D17" s="11"/>
      <x:c r="E17" s="11"/>
      <x:c r="F17" s="11"/>
      <x:c r="G17" s="11"/>
      <x:c r="H17" s="11"/>
      <x:c r="I17" s="15"/>
      <x:c r="J17" s="11"/>
      <x:c r="K17" s="11"/>
      <x:c r="L17" s="11"/>
      <x:c r="M17" s="11"/>
      <x:c r="N17" s="15"/>
      <x:c r="O17" s="14"/>
      <x:c r="P17" s="11"/>
    </x:row>
    <x:row r="18" ht="60" customHeight="1">
      <x:c r="A18" s="11"/>
      <x:c r="B18" s="11"/>
      <x:c r="C18" s="11"/>
      <x:c r="D18" s="11"/>
      <x:c r="E18" s="11"/>
      <x:c r="F18" s="11"/>
      <x:c r="G18" s="11"/>
      <x:c r="H18" s="11"/>
      <x:c r="I18" s="15"/>
      <x:c r="J18" s="11"/>
      <x:c r="K18" s="11"/>
      <x:c r="L18" s="11"/>
      <x:c r="M18" s="11"/>
      <x:c r="N18" s="15"/>
      <x:c r="O18" s="14"/>
      <x:c r="P18" s="11"/>
    </x:row>
    <x:row r="19" ht="60" customHeight="1">
      <x:c r="A19" s="11"/>
      <x:c r="B19" s="11"/>
      <x:c r="C19" s="11"/>
      <x:c r="D19" s="11"/>
      <x:c r="E19" s="11"/>
      <x:c r="F19" s="11"/>
      <x:c r="G19" s="11"/>
      <x:c r="H19" s="11"/>
      <x:c r="I19" s="15"/>
      <x:c r="J19" s="11"/>
      <x:c r="K19" s="11"/>
      <x:c r="L19" s="11"/>
      <x:c r="M19" s="11"/>
      <x:c r="N19" s="15"/>
      <x:c r="O19" s="14"/>
      <x:c r="P19" s="11"/>
    </x:row>
    <x:row r="20" ht="60" customHeight="1">
      <x:c r="A20" s="11"/>
      <x:c r="B20" s="11"/>
      <x:c r="C20" s="11"/>
      <x:c r="D20" s="11"/>
      <x:c r="E20" s="11"/>
      <x:c r="F20" s="11"/>
      <x:c r="G20" s="11"/>
      <x:c r="H20" s="11"/>
      <x:c r="I20" s="15"/>
      <x:c r="J20" s="11"/>
      <x:c r="K20" s="11"/>
      <x:c r="L20" s="11"/>
      <x:c r="M20" s="11"/>
      <x:c r="N20" s="15"/>
      <x:c r="O20" s="14"/>
      <x:c r="P20" s="11"/>
    </x:row>
    <x:row r="21" ht="60" customHeight="1">
      <x:c r="A21" s="11"/>
      <x:c r="B21" s="11"/>
      <x:c r="C21" s="11"/>
      <x:c r="D21" s="11"/>
      <x:c r="E21" s="11"/>
      <x:c r="F21" s="11"/>
      <x:c r="G21" s="11"/>
      <x:c r="H21" s="11"/>
      <x:c r="I21" s="15"/>
      <x:c r="J21" s="11"/>
      <x:c r="K21" s="11"/>
      <x:c r="L21" s="11"/>
      <x:c r="M21" s="11"/>
      <x:c r="N21" s="15"/>
      <x:c r="O21" s="14"/>
      <x:c r="P21" s="11"/>
    </x:row>
    <x:row r="22" ht="60" customHeight="1">
      <x:c r="A22" s="11"/>
      <x:c r="B22" s="11"/>
      <x:c r="C22" s="11"/>
      <x:c r="D22" s="11"/>
      <x:c r="E22" s="11"/>
      <x:c r="F22" s="11"/>
      <x:c r="G22" s="11"/>
      <x:c r="H22" s="11"/>
      <x:c r="I22" s="15"/>
      <x:c r="J22" s="11"/>
      <x:c r="K22" s="11"/>
      <x:c r="L22" s="11"/>
      <x:c r="M22" s="11"/>
      <x:c r="N22" s="15"/>
      <x:c r="O22" s="14"/>
      <x:c r="P22" s="11"/>
    </x:row>
    <x:row r="23" ht="60" customHeight="1">
      <x:c r="A23" s="11"/>
      <x:c r="B23" s="11"/>
      <x:c r="C23" s="11"/>
      <x:c r="D23" s="11"/>
      <x:c r="E23" s="11"/>
      <x:c r="F23" s="11"/>
      <x:c r="G23" s="11"/>
      <x:c r="H23" s="11"/>
      <x:c r="I23" s="15"/>
      <x:c r="J23" s="11"/>
      <x:c r="K23" s="11"/>
      <x:c r="L23" s="11"/>
      <x:c r="M23" s="11"/>
      <x:c r="N23" s="15"/>
      <x:c r="O23" s="14"/>
      <x:c r="P23" s="11"/>
    </x:row>
    <x:row r="24" ht="60" customHeight="1">
      <x:c r="A24" s="11"/>
      <x:c r="B24" s="11"/>
      <x:c r="C24" s="11"/>
      <x:c r="D24" s="11"/>
      <x:c r="E24" s="11"/>
      <x:c r="F24" s="11"/>
      <x:c r="G24" s="11"/>
      <x:c r="H24" s="11"/>
      <x:c r="I24" s="15"/>
      <x:c r="J24" s="11"/>
      <x:c r="K24" s="11"/>
      <x:c r="L24" s="11"/>
      <x:c r="M24" s="11"/>
      <x:c r="N24" s="15"/>
      <x:c r="O24" s="14"/>
      <x:c r="P24" s="11"/>
    </x:row>
    <x:row r="25" ht="60" customHeight="1">
      <x:c r="A25" s="11"/>
      <x:c r="B25" s="11"/>
      <x:c r="C25" s="11"/>
      <x:c r="D25" s="11"/>
      <x:c r="E25" s="11"/>
      <x:c r="F25" s="11"/>
      <x:c r="G25" s="11"/>
      <x:c r="H25" s="11"/>
      <x:c r="I25" s="15"/>
      <x:c r="J25" s="11"/>
      <x:c r="K25" s="11"/>
      <x:c r="L25" s="11"/>
      <x:c r="M25" s="11"/>
      <x:c r="N25" s="15"/>
      <x:c r="O25" s="14"/>
      <x:c r="P25" s="11"/>
    </x:row>
    <x:row r="26" ht="60" customHeight="1">
      <x:c r="A26" s="11"/>
      <x:c r="B26" s="11"/>
      <x:c r="C26" s="11"/>
      <x:c r="D26" s="11"/>
      <x:c r="E26" s="11"/>
      <x:c r="F26" s="11"/>
      <x:c r="G26" s="11"/>
      <x:c r="H26" s="11"/>
      <x:c r="I26" s="15"/>
      <x:c r="J26" s="11"/>
      <x:c r="K26" s="11"/>
      <x:c r="L26" s="11"/>
      <x:c r="M26" s="11"/>
      <x:c r="N26" s="15"/>
      <x:c r="O26" s="14"/>
      <x:c r="P26" s="11"/>
    </x:row>
    <x:row r="27" ht="60" customHeight="1">
      <x:c r="A27" s="11"/>
      <x:c r="B27" s="11"/>
      <x:c r="C27" s="11"/>
      <x:c r="D27" s="11"/>
      <x:c r="E27" s="11"/>
      <x:c r="F27" s="11"/>
      <x:c r="G27" s="11"/>
      <x:c r="H27" s="11"/>
      <x:c r="I27" s="15"/>
      <x:c r="J27" s="11"/>
      <x:c r="K27" s="11"/>
      <x:c r="L27" s="11"/>
      <x:c r="M27" s="11"/>
      <x:c r="N27" s="15"/>
      <x:c r="O27" s="14"/>
      <x:c r="P27" s="11"/>
    </x:row>
    <x:row r="28" ht="60" customHeight="1">
      <x:c r="A28" s="11"/>
      <x:c r="B28" s="11"/>
      <x:c r="C28" s="11"/>
      <x:c r="D28" s="11"/>
      <x:c r="E28" s="11"/>
      <x:c r="F28" s="11"/>
      <x:c r="G28" s="11"/>
      <x:c r="H28" s="11"/>
      <x:c r="I28" s="15"/>
      <x:c r="J28" s="11"/>
      <x:c r="K28" s="11"/>
      <x:c r="L28" s="11"/>
      <x:c r="M28" s="11"/>
      <x:c r="N28" s="15"/>
      <x:c r="O28" s="14"/>
      <x:c r="P28" s="11"/>
    </x:row>
    <x:row r="29" ht="60" customHeight="1">
      <x:c r="A29" s="11"/>
      <x:c r="B29" s="11"/>
      <x:c r="C29" s="11"/>
      <x:c r="D29" s="11"/>
      <x:c r="E29" s="11"/>
      <x:c r="F29" s="11"/>
      <x:c r="G29" s="11"/>
      <x:c r="H29" s="11"/>
      <x:c r="I29" s="15"/>
      <x:c r="J29" s="11"/>
      <x:c r="K29" s="11"/>
      <x:c r="L29" s="11"/>
      <x:c r="M29" s="11"/>
      <x:c r="N29" s="15"/>
      <x:c r="O29" s="14"/>
      <x:c r="P29" s="11"/>
    </x:row>
    <x:row r="30" ht="60" customHeight="1">
      <x:c r="A30" s="11"/>
      <x:c r="B30" s="11"/>
      <x:c r="C30" s="11"/>
      <x:c r="D30" s="11"/>
      <x:c r="E30" s="11"/>
      <x:c r="F30" s="11"/>
      <x:c r="G30" s="11"/>
      <x:c r="H30" s="11"/>
      <x:c r="I30" s="15"/>
      <x:c r="J30" s="11"/>
      <x:c r="K30" s="11"/>
      <x:c r="L30" s="11"/>
      <x:c r="M30" s="11"/>
      <x:c r="N30" s="15"/>
      <x:c r="O30" s="14"/>
      <x:c r="P30" s="11"/>
    </x:row>
    <x:row r="31" ht="60" customHeight="1">
      <x:c r="A31" s="11"/>
      <x:c r="B31" s="11"/>
      <x:c r="C31" s="11"/>
      <x:c r="D31" s="11"/>
      <x:c r="E31" s="11"/>
      <x:c r="F31" s="11"/>
      <x:c r="G31" s="11"/>
      <x:c r="H31" s="11"/>
      <x:c r="I31" s="15"/>
      <x:c r="J31" s="11"/>
      <x:c r="K31" s="11"/>
      <x:c r="L31" s="11"/>
      <x:c r="M31" s="11"/>
      <x:c r="N31" s="15"/>
      <x:c r="O31" s="14"/>
      <x:c r="P31" s="11"/>
    </x:row>
    <x:row r="32" ht="60" customHeight="1">
      <x:c r="A32" s="11"/>
      <x:c r="B32" s="11"/>
      <x:c r="C32" s="11"/>
      <x:c r="D32" s="11"/>
      <x:c r="E32" s="11"/>
      <x:c r="F32" s="11"/>
      <x:c r="G32" s="11"/>
      <x:c r="H32" s="11"/>
      <x:c r="I32" s="15"/>
      <x:c r="J32" s="11"/>
      <x:c r="K32" s="11"/>
      <x:c r="L32" s="11"/>
      <x:c r="M32" s="11"/>
      <x:c r="N32" s="15"/>
      <x:c r="O32" s="14"/>
      <x:c r="P32" s="11"/>
    </x:row>
    <x:row r="33" ht="60" customHeight="1">
      <x:c r="A33" s="11"/>
      <x:c r="B33" s="11"/>
      <x:c r="C33" s="11"/>
      <x:c r="D33" s="11"/>
      <x:c r="E33" s="11"/>
      <x:c r="F33" s="11"/>
      <x:c r="G33" s="11"/>
      <x:c r="H33" s="11"/>
      <x:c r="I33" s="15"/>
      <x:c r="J33" s="11"/>
      <x:c r="K33" s="11"/>
      <x:c r="L33" s="11"/>
      <x:c r="M33" s="11"/>
      <x:c r="N33" s="15"/>
      <x:c r="O33" s="14"/>
      <x:c r="P33" s="11"/>
    </x:row>
    <x:row r="34" ht="60" customHeight="1">
      <x:c r="A34" s="11"/>
      <x:c r="B34" s="11"/>
      <x:c r="C34" s="11"/>
      <x:c r="D34" s="11"/>
      <x:c r="E34" s="11"/>
      <x:c r="F34" s="11"/>
      <x:c r="G34" s="11"/>
      <x:c r="H34" s="11"/>
      <x:c r="I34" s="15"/>
      <x:c r="J34" s="11"/>
      <x:c r="K34" s="11"/>
      <x:c r="L34" s="11"/>
      <x:c r="M34" s="11"/>
      <x:c r="N34" s="15"/>
      <x:c r="O34" s="14"/>
      <x:c r="P34" s="11"/>
    </x:row>
    <x:row r="35" ht="60" customHeight="1">
      <x:c r="A35" s="11"/>
      <x:c r="B35" s="11"/>
      <x:c r="C35" s="11"/>
      <x:c r="D35" s="11"/>
      <x:c r="E35" s="11"/>
      <x:c r="F35" s="11"/>
      <x:c r="G35" s="11"/>
      <x:c r="H35" s="11"/>
      <x:c r="I35" s="15"/>
      <x:c r="J35" s="11"/>
      <x:c r="K35" s="11"/>
      <x:c r="L35" s="11"/>
      <x:c r="M35" s="11"/>
      <x:c r="N35" s="15"/>
      <x:c r="O35" s="14"/>
      <x:c r="P35" s="11"/>
    </x:row>
    <x:row r="36" ht="60" customHeight="1">
      <x:c r="A36" s="11"/>
      <x:c r="B36" s="11"/>
      <x:c r="C36" s="11"/>
      <x:c r="D36" s="11"/>
      <x:c r="E36" s="11"/>
      <x:c r="F36" s="11"/>
      <x:c r="G36" s="11"/>
      <x:c r="H36" s="11"/>
      <x:c r="I36" s="15"/>
      <x:c r="J36" s="11"/>
      <x:c r="K36" s="11"/>
      <x:c r="L36" s="11"/>
      <x:c r="M36" s="11"/>
      <x:c r="N36" s="15"/>
      <x:c r="O36" s="14"/>
      <x:c r="P36" s="11"/>
    </x:row>
    <x:row r="37" ht="60" customHeight="1">
      <x:c r="A37" s="11"/>
      <x:c r="B37" s="11"/>
      <x:c r="C37" s="11"/>
      <x:c r="D37" s="11"/>
      <x:c r="E37" s="11"/>
      <x:c r="F37" s="11"/>
      <x:c r="G37" s="11"/>
      <x:c r="H37" s="11"/>
      <x:c r="I37" s="15"/>
      <x:c r="J37" s="11"/>
      <x:c r="K37" s="11"/>
      <x:c r="L37" s="11"/>
      <x:c r="M37" s="11"/>
      <x:c r="N37" s="15"/>
      <x:c r="O37" s="14"/>
      <x:c r="P37" s="11"/>
    </x:row>
    <x:row r="38" ht="60" customHeight="1">
      <x:c r="A38" s="11"/>
      <x:c r="B38" s="11"/>
      <x:c r="C38" s="11"/>
      <x:c r="D38" s="11"/>
      <x:c r="E38" s="11"/>
      <x:c r="F38" s="11"/>
      <x:c r="G38" s="11"/>
      <x:c r="H38" s="11"/>
      <x:c r="I38" s="15"/>
      <x:c r="J38" s="11"/>
      <x:c r="K38" s="11"/>
      <x:c r="L38" s="11"/>
      <x:c r="M38" s="11"/>
      <x:c r="N38" s="15"/>
      <x:c r="O38" s="14"/>
      <x:c r="P38" s="11"/>
    </x:row>
    <x:row r="39" ht="60" customHeight="1">
      <x:c r="A39" s="11"/>
      <x:c r="B39" s="11"/>
      <x:c r="C39" s="11"/>
      <x:c r="D39" s="11"/>
      <x:c r="E39" s="11"/>
      <x:c r="F39" s="11"/>
      <x:c r="G39" s="11"/>
      <x:c r="H39" s="11"/>
      <x:c r="I39" s="15"/>
      <x:c r="J39" s="11"/>
      <x:c r="K39" s="11"/>
      <x:c r="L39" s="11"/>
      <x:c r="M39" s="11"/>
      <x:c r="N39" s="15"/>
      <x:c r="O39" s="14"/>
      <x:c r="P39" s="11"/>
    </x:row>
    <x:row r="40" ht="60" customHeight="1">
      <x:c r="A40" s="11"/>
      <x:c r="B40" s="11"/>
      <x:c r="C40" s="11"/>
      <x:c r="D40" s="11"/>
      <x:c r="E40" s="11"/>
      <x:c r="F40" s="11"/>
      <x:c r="G40" s="11"/>
      <x:c r="H40" s="11"/>
      <x:c r="I40" s="15"/>
      <x:c r="J40" s="11"/>
      <x:c r="K40" s="11"/>
      <x:c r="L40" s="11"/>
      <x:c r="M40" s="11"/>
      <x:c r="N40" s="15"/>
      <x:c r="O40" s="14"/>
      <x:c r="P40" s="11"/>
    </x:row>
    <x:row r="41" ht="60" customHeight="1">
      <x:c r="A41" s="11"/>
      <x:c r="B41" s="11"/>
      <x:c r="C41" s="11"/>
      <x:c r="D41" s="11"/>
      <x:c r="E41" s="11"/>
      <x:c r="F41" s="11"/>
      <x:c r="G41" s="11"/>
      <x:c r="H41" s="11"/>
      <x:c r="I41" s="15"/>
      <x:c r="J41" s="11"/>
      <x:c r="K41" s="11"/>
      <x:c r="L41" s="11"/>
      <x:c r="M41" s="11"/>
      <x:c r="N41" s="15"/>
      <x:c r="O41" s="14"/>
      <x:c r="P41" s="11"/>
    </x:row>
    <x:row r="42" ht="60" customHeight="1">
      <x:c r="A42" s="11"/>
      <x:c r="B42" s="11"/>
      <x:c r="C42" s="11"/>
      <x:c r="D42" s="11"/>
      <x:c r="E42" s="11"/>
      <x:c r="F42" s="11"/>
      <x:c r="G42" s="11"/>
      <x:c r="H42" s="11"/>
      <x:c r="I42" s="15"/>
      <x:c r="J42" s="11"/>
      <x:c r="K42" s="11"/>
      <x:c r="L42" s="11"/>
      <x:c r="M42" s="11"/>
      <x:c r="N42" s="15"/>
      <x:c r="O42" s="14"/>
      <x:c r="P42" s="11"/>
    </x:row>
    <x:row r="43" ht="60" customHeight="1">
      <x:c r="A43" s="11"/>
      <x:c r="B43" s="11"/>
      <x:c r="C43" s="11"/>
      <x:c r="D43" s="11"/>
      <x:c r="E43" s="11"/>
      <x:c r="F43" s="11"/>
      <x:c r="G43" s="11"/>
      <x:c r="H43" s="11"/>
      <x:c r="I43" s="15"/>
      <x:c r="J43" s="11"/>
      <x:c r="K43" s="11"/>
      <x:c r="L43" s="11"/>
      <x:c r="M43" s="11"/>
      <x:c r="N43" s="15"/>
      <x:c r="O43" s="14"/>
      <x:c r="P43" s="11"/>
    </x:row>
    <x:row r="44" ht="60" customHeight="1">
      <x:c r="A44" s="11"/>
      <x:c r="B44" s="11"/>
      <x:c r="C44" s="11"/>
      <x:c r="D44" s="11"/>
      <x:c r="E44" s="11"/>
      <x:c r="F44" s="11"/>
      <x:c r="G44" s="11"/>
      <x:c r="H44" s="11"/>
      <x:c r="I44" s="15"/>
      <x:c r="J44" s="11"/>
      <x:c r="K44" s="11"/>
      <x:c r="L44" s="11"/>
      <x:c r="M44" s="11"/>
      <x:c r="N44" s="15"/>
      <x:c r="O44" s="14"/>
      <x:c r="P44" s="11"/>
    </x:row>
    <x:row r="45" ht="60" customHeight="1">
      <x:c r="A45" s="11"/>
      <x:c r="B45" s="11"/>
      <x:c r="C45" s="11"/>
      <x:c r="D45" s="11"/>
      <x:c r="E45" s="11"/>
      <x:c r="F45" s="11"/>
      <x:c r="G45" s="11"/>
      <x:c r="H45" s="11"/>
      <x:c r="I45" s="15"/>
      <x:c r="J45" s="11"/>
      <x:c r="K45" s="11"/>
      <x:c r="L45" s="11"/>
      <x:c r="M45" s="11"/>
      <x:c r="N45" s="15"/>
      <x:c r="O45" s="14"/>
      <x:c r="P45" s="11"/>
    </x:row>
    <x:row r="46" ht="60" customHeight="1">
      <x:c r="A46" s="11"/>
      <x:c r="B46" s="11"/>
      <x:c r="C46" s="11"/>
      <x:c r="D46" s="11"/>
      <x:c r="E46" s="11"/>
      <x:c r="F46" s="11"/>
      <x:c r="G46" s="11"/>
      <x:c r="H46" s="11"/>
      <x:c r="I46" s="15"/>
      <x:c r="J46" s="11"/>
      <x:c r="K46" s="11"/>
      <x:c r="L46" s="11"/>
      <x:c r="M46" s="11"/>
      <x:c r="N46" s="15"/>
      <x:c r="O46" s="14"/>
      <x:c r="P46" s="11"/>
    </x:row>
    <x:row r="47" ht="60" customHeight="1">
      <x:c r="A47" s="11"/>
      <x:c r="B47" s="11"/>
      <x:c r="C47" s="11"/>
      <x:c r="D47" s="11"/>
      <x:c r="E47" s="11"/>
      <x:c r="F47" s="11"/>
      <x:c r="G47" s="11"/>
      <x:c r="H47" s="11"/>
      <x:c r="I47" s="15"/>
      <x:c r="J47" s="11"/>
      <x:c r="K47" s="11"/>
      <x:c r="L47" s="11"/>
      <x:c r="M47" s="11"/>
      <x:c r="N47" s="15"/>
      <x:c r="O47" s="14"/>
      <x:c r="P47" s="11"/>
    </x:row>
    <x:row r="48" ht="60" customHeight="1">
      <x:c r="A48" s="11"/>
      <x:c r="B48" s="11"/>
      <x:c r="C48" s="11"/>
      <x:c r="D48" s="11"/>
      <x:c r="E48" s="11"/>
      <x:c r="F48" s="11"/>
      <x:c r="G48" s="11"/>
      <x:c r="H48" s="11"/>
      <x:c r="I48" s="15"/>
      <x:c r="J48" s="11"/>
      <x:c r="K48" s="11"/>
      <x:c r="L48" s="11"/>
      <x:c r="M48" s="11"/>
      <x:c r="N48" s="15"/>
      <x:c r="O48" s="14"/>
      <x:c r="P48" s="11"/>
    </x:row>
    <x:row r="49" ht="60" customHeight="1">
      <x:c r="A49" s="11"/>
      <x:c r="B49" s="11"/>
      <x:c r="C49" s="11"/>
      <x:c r="D49" s="11"/>
      <x:c r="E49" s="11"/>
      <x:c r="F49" s="11"/>
      <x:c r="G49" s="11"/>
      <x:c r="H49" s="11"/>
      <x:c r="I49" s="15"/>
      <x:c r="J49" s="11"/>
      <x:c r="K49" s="11"/>
      <x:c r="L49" s="11"/>
      <x:c r="M49" s="11"/>
      <x:c r="N49" s="15"/>
      <x:c r="O49" s="14"/>
      <x:c r="P49" s="11"/>
    </x:row>
    <x:row r="50" ht="60" customHeight="1">
      <x:c r="A50" s="11"/>
      <x:c r="B50" s="11"/>
      <x:c r="C50" s="11"/>
      <x:c r="D50" s="11"/>
      <x:c r="E50" s="11"/>
      <x:c r="F50" s="11"/>
      <x:c r="G50" s="11"/>
      <x:c r="H50" s="11"/>
      <x:c r="I50" s="15"/>
      <x:c r="J50" s="11"/>
      <x:c r="K50" s="11"/>
      <x:c r="L50" s="11"/>
      <x:c r="M50" s="11"/>
      <x:c r="N50" s="15"/>
      <x:c r="O50" s="14"/>
      <x:c r="P50" s="11"/>
    </x:row>
    <x:row r="51" ht="60" customHeight="1">
      <x:c r="A51" s="11"/>
      <x:c r="B51" s="11"/>
      <x:c r="C51" s="11"/>
      <x:c r="D51" s="11"/>
      <x:c r="E51" s="11"/>
      <x:c r="F51" s="11"/>
      <x:c r="G51" s="11"/>
      <x:c r="H51" s="11"/>
      <x:c r="I51" s="15"/>
      <x:c r="J51" s="11"/>
      <x:c r="K51" s="11"/>
      <x:c r="L51" s="11"/>
      <x:c r="M51" s="11"/>
      <x:c r="N51" s="15"/>
      <x:c r="O51" s="14"/>
      <x:c r="P51" s="11"/>
    </x:row>
    <x:row r="52" ht="60" customHeight="1">
      <x:c r="A52" s="11"/>
      <x:c r="B52" s="11"/>
      <x:c r="C52" s="11"/>
      <x:c r="D52" s="11"/>
      <x:c r="E52" s="11"/>
      <x:c r="F52" s="11"/>
      <x:c r="G52" s="11"/>
      <x:c r="H52" s="11"/>
      <x:c r="I52" s="15"/>
      <x:c r="J52" s="11"/>
      <x:c r="K52" s="11"/>
      <x:c r="L52" s="11"/>
      <x:c r="M52" s="11"/>
      <x:c r="N52" s="15"/>
      <x:c r="O52" s="14"/>
      <x:c r="P52" s="11"/>
    </x:row>
    <x:row r="53" ht="60" customHeight="1">
      <x:c r="A53" s="11"/>
      <x:c r="B53" s="11"/>
      <x:c r="C53" s="11"/>
      <x:c r="D53" s="11"/>
      <x:c r="E53" s="11"/>
      <x:c r="F53" s="11"/>
      <x:c r="G53" s="11"/>
      <x:c r="H53" s="11"/>
      <x:c r="I53" s="15"/>
      <x:c r="J53" s="11"/>
      <x:c r="K53" s="11"/>
      <x:c r="L53" s="11"/>
      <x:c r="M53" s="11"/>
      <x:c r="N53" s="15"/>
      <x:c r="O53" s="14"/>
      <x:c r="P53" s="11"/>
    </x:row>
    <x:row r="54" ht="60" customHeight="1">
      <x:c r="A54" s="11"/>
      <x:c r="B54" s="11"/>
      <x:c r="C54" s="11"/>
      <x:c r="D54" s="11"/>
      <x:c r="E54" s="11"/>
      <x:c r="F54" s="11"/>
      <x:c r="G54" s="11"/>
      <x:c r="H54" s="11"/>
      <x:c r="I54" s="15"/>
      <x:c r="J54" s="11"/>
      <x:c r="K54" s="11"/>
      <x:c r="L54" s="11"/>
      <x:c r="M54" s="11"/>
      <x:c r="N54" s="15"/>
      <x:c r="O54" s="14"/>
      <x:c r="P54" s="11"/>
    </x:row>
    <x:row r="55" ht="60" customHeight="1">
      <x:c r="A55" s="11"/>
      <x:c r="B55" s="11"/>
      <x:c r="C55" s="11"/>
      <x:c r="D55" s="11"/>
      <x:c r="E55" s="11"/>
      <x:c r="F55" s="11"/>
      <x:c r="G55" s="11"/>
      <x:c r="H55" s="11"/>
      <x:c r="I55" s="15"/>
      <x:c r="J55" s="11"/>
      <x:c r="K55" s="11"/>
      <x:c r="L55" s="11"/>
      <x:c r="M55" s="11"/>
      <x:c r="N55" s="15"/>
      <x:c r="O55" s="14"/>
      <x:c r="P55" s="11"/>
    </x:row>
    <x:row r="56" ht="60" customHeight="1">
      <x:c r="A56" s="11"/>
      <x:c r="B56" s="11"/>
      <x:c r="C56" s="11"/>
      <x:c r="D56" s="11"/>
      <x:c r="E56" s="11"/>
      <x:c r="F56" s="11"/>
      <x:c r="G56" s="11"/>
      <x:c r="H56" s="11"/>
      <x:c r="I56" s="15"/>
      <x:c r="J56" s="11"/>
      <x:c r="K56" s="11"/>
      <x:c r="L56" s="11"/>
      <x:c r="M56" s="11"/>
      <x:c r="N56" s="15"/>
      <x:c r="O56" s="14"/>
      <x:c r="P56" s="11"/>
    </x:row>
    <x:row r="57" ht="60" customHeight="1">
      <x:c r="A57" s="11"/>
      <x:c r="B57" s="11"/>
      <x:c r="C57" s="11"/>
      <x:c r="D57" s="11"/>
      <x:c r="E57" s="11"/>
      <x:c r="F57" s="11"/>
      <x:c r="G57" s="11"/>
      <x:c r="H57" s="11"/>
      <x:c r="I57" s="15"/>
      <x:c r="J57" s="11"/>
      <x:c r="K57" s="11"/>
      <x:c r="L57" s="11"/>
      <x:c r="M57" s="11"/>
      <x:c r="N57" s="15"/>
      <x:c r="O57" s="14"/>
      <x:c r="P57" s="11"/>
    </x:row>
    <x:row r="58" ht="60" customHeight="1">
      <x:c r="A58" s="11"/>
      <x:c r="B58" s="11"/>
      <x:c r="C58" s="11"/>
      <x:c r="D58" s="11"/>
      <x:c r="E58" s="11"/>
      <x:c r="F58" s="11"/>
      <x:c r="G58" s="11"/>
      <x:c r="H58" s="11"/>
      <x:c r="I58" s="15"/>
      <x:c r="J58" s="11"/>
      <x:c r="K58" s="11"/>
      <x:c r="L58" s="11"/>
      <x:c r="M58" s="11"/>
      <x:c r="N58" s="15"/>
      <x:c r="O58" s="14"/>
      <x:c r="P58" s="11"/>
    </x:row>
    <x:row r="59" ht="60" customHeight="1">
      <x:c r="A59" s="11"/>
      <x:c r="B59" s="11"/>
      <x:c r="C59" s="11"/>
      <x:c r="D59" s="11"/>
      <x:c r="E59" s="11"/>
      <x:c r="F59" s="11"/>
      <x:c r="G59" s="11"/>
      <x:c r="H59" s="11"/>
      <x:c r="I59" s="15"/>
      <x:c r="J59" s="11"/>
      <x:c r="K59" s="11"/>
      <x:c r="L59" s="11"/>
      <x:c r="M59" s="11"/>
      <x:c r="N59" s="15"/>
      <x:c r="O59" s="14"/>
      <x:c r="P59" s="11"/>
    </x:row>
    <x:row r="60" ht="60" customHeight="1">
      <x:c r="A60" s="11"/>
      <x:c r="B60" s="11"/>
      <x:c r="C60" s="11"/>
      <x:c r="D60" s="11"/>
      <x:c r="E60" s="11"/>
      <x:c r="F60" s="11"/>
      <x:c r="G60" s="11"/>
      <x:c r="H60" s="11"/>
      <x:c r="I60" s="15"/>
      <x:c r="J60" s="11"/>
      <x:c r="K60" s="11"/>
      <x:c r="L60" s="11"/>
      <x:c r="M60" s="11"/>
      <x:c r="N60" s="15"/>
      <x:c r="O60" s="14"/>
      <x:c r="P60" s="11"/>
    </x:row>
    <x:row r="61" ht="60" customHeight="1">
      <x:c r="A61" s="11"/>
      <x:c r="B61" s="11"/>
      <x:c r="C61" s="11"/>
      <x:c r="D61" s="11"/>
      <x:c r="E61" s="11"/>
      <x:c r="F61" s="11"/>
      <x:c r="G61" s="11"/>
      <x:c r="H61" s="11"/>
      <x:c r="I61" s="15"/>
      <x:c r="J61" s="11"/>
      <x:c r="K61" s="11"/>
      <x:c r="L61" s="11"/>
      <x:c r="M61" s="11"/>
      <x:c r="N61" s="15"/>
      <x:c r="O61" s="14"/>
      <x:c r="P61" s="11"/>
    </x:row>
    <x:row r="62" ht="60" customHeight="1">
      <x:c r="A62" s="11"/>
      <x:c r="B62" s="11"/>
      <x:c r="C62" s="11"/>
      <x:c r="D62" s="11"/>
      <x:c r="E62" s="11"/>
      <x:c r="F62" s="11"/>
      <x:c r="G62" s="11"/>
      <x:c r="H62" s="11"/>
      <x:c r="I62" s="15"/>
      <x:c r="J62" s="11"/>
      <x:c r="K62" s="11"/>
      <x:c r="L62" s="11"/>
      <x:c r="M62" s="11"/>
      <x:c r="N62" s="15"/>
      <x:c r="O62" s="14"/>
      <x:c r="P62" s="11"/>
    </x:row>
    <x:row r="63" ht="60" customHeight="1">
      <x:c r="A63" s="11"/>
      <x:c r="B63" s="11"/>
      <x:c r="C63" s="11"/>
      <x:c r="D63" s="11"/>
      <x:c r="E63" s="11"/>
      <x:c r="F63" s="11"/>
      <x:c r="G63" s="11"/>
      <x:c r="H63" s="11"/>
      <x:c r="I63" s="15"/>
      <x:c r="J63" s="11"/>
      <x:c r="K63" s="11"/>
      <x:c r="L63" s="11"/>
      <x:c r="M63" s="11"/>
      <x:c r="N63" s="15"/>
      <x:c r="O63" s="14"/>
      <x:c r="P63" s="11"/>
    </x:row>
    <x:row r="64" ht="60" customHeight="1">
      <x:c r="A64" s="11"/>
      <x:c r="B64" s="11"/>
      <x:c r="C64" s="11"/>
      <x:c r="D64" s="11"/>
      <x:c r="E64" s="11"/>
      <x:c r="F64" s="11"/>
      <x:c r="G64" s="11"/>
      <x:c r="H64" s="11"/>
      <x:c r="I64" s="15"/>
      <x:c r="J64" s="11"/>
      <x:c r="K64" s="11"/>
      <x:c r="L64" s="11"/>
      <x:c r="M64" s="11"/>
      <x:c r="N64" s="15"/>
      <x:c r="O64" s="14"/>
      <x:c r="P64" s="11"/>
    </x:row>
    <x:row r="65" ht="60" customHeight="1">
      <x:c r="A65" s="11"/>
      <x:c r="B65" s="11"/>
      <x:c r="C65" s="11"/>
      <x:c r="D65" s="11"/>
      <x:c r="E65" s="11"/>
      <x:c r="F65" s="11"/>
      <x:c r="G65" s="11"/>
      <x:c r="H65" s="11"/>
      <x:c r="I65" s="15"/>
      <x:c r="J65" s="11"/>
      <x:c r="K65" s="11"/>
      <x:c r="L65" s="11"/>
      <x:c r="M65" s="11"/>
      <x:c r="N65" s="15"/>
      <x:c r="O65" s="14"/>
      <x:c r="P65" s="11"/>
    </x:row>
    <x:row r="66" ht="60" customHeight="1">
      <x:c r="A66" s="11"/>
      <x:c r="B66" s="11"/>
      <x:c r="C66" s="11"/>
      <x:c r="D66" s="11"/>
      <x:c r="E66" s="11"/>
      <x:c r="F66" s="11"/>
      <x:c r="G66" s="11"/>
      <x:c r="H66" s="11"/>
      <x:c r="I66" s="15"/>
      <x:c r="J66" s="11"/>
      <x:c r="K66" s="11"/>
      <x:c r="L66" s="11"/>
      <x:c r="M66" s="11"/>
      <x:c r="N66" s="15"/>
      <x:c r="O66" s="14"/>
      <x:c r="P66" s="11"/>
    </x:row>
    <x:row r="67" ht="60" customHeight="1">
      <x:c r="A67" s="11"/>
      <x:c r="B67" s="11"/>
      <x:c r="C67" s="11"/>
      <x:c r="D67" s="11"/>
      <x:c r="E67" s="11"/>
      <x:c r="F67" s="11"/>
      <x:c r="G67" s="11"/>
      <x:c r="H67" s="11"/>
      <x:c r="I67" s="15"/>
      <x:c r="J67" s="11"/>
      <x:c r="K67" s="11"/>
      <x:c r="L67" s="11"/>
      <x:c r="M67" s="11"/>
      <x:c r="N67" s="15"/>
      <x:c r="O67" s="14"/>
      <x:c r="P67" s="11"/>
    </x:row>
    <x:row r="68" ht="60" customHeight="1">
      <x:c r="A68" s="11"/>
      <x:c r="B68" s="11"/>
      <x:c r="C68" s="11"/>
      <x:c r="D68" s="11"/>
      <x:c r="E68" s="11"/>
      <x:c r="F68" s="11"/>
      <x:c r="G68" s="11"/>
      <x:c r="H68" s="11"/>
      <x:c r="I68" s="15"/>
      <x:c r="J68" s="11"/>
      <x:c r="K68" s="11"/>
      <x:c r="L68" s="11"/>
      <x:c r="M68" s="11"/>
      <x:c r="N68" s="15"/>
      <x:c r="O68" s="14"/>
      <x:c r="P68" s="11"/>
    </x:row>
    <x:row r="69" ht="60" customHeight="1">
      <x:c r="A69" s="11"/>
      <x:c r="B69" s="11"/>
      <x:c r="C69" s="11"/>
      <x:c r="D69" s="11"/>
      <x:c r="E69" s="11"/>
      <x:c r="F69" s="11"/>
      <x:c r="G69" s="11"/>
      <x:c r="H69" s="11"/>
      <x:c r="I69" s="15"/>
      <x:c r="J69" s="11"/>
      <x:c r="K69" s="11"/>
      <x:c r="L69" s="11"/>
      <x:c r="M69" s="11"/>
      <x:c r="N69" s="15"/>
      <x:c r="O69" s="14"/>
      <x:c r="P69" s="11"/>
    </x:row>
    <x:row r="70" ht="60" customHeight="1">
      <x:c r="A70" s="11"/>
      <x:c r="B70" s="11"/>
      <x:c r="C70" s="11"/>
      <x:c r="D70" s="11"/>
      <x:c r="E70" s="11"/>
      <x:c r="F70" s="11"/>
      <x:c r="G70" s="11"/>
      <x:c r="H70" s="11"/>
      <x:c r="I70" s="15"/>
      <x:c r="J70" s="11"/>
      <x:c r="K70" s="11"/>
      <x:c r="L70" s="11"/>
      <x:c r="M70" s="11"/>
      <x:c r="N70" s="15"/>
      <x:c r="O70" s="14"/>
      <x:c r="P70" s="11"/>
    </x:row>
    <x:row r="71" ht="60" customHeight="1">
      <x:c r="A71" s="11"/>
      <x:c r="B71" s="11"/>
      <x:c r="C71" s="11"/>
      <x:c r="D71" s="11"/>
      <x:c r="E71" s="11"/>
      <x:c r="F71" s="11"/>
      <x:c r="G71" s="11"/>
      <x:c r="H71" s="11"/>
      <x:c r="I71" s="15"/>
      <x:c r="J71" s="11"/>
      <x:c r="K71" s="11"/>
      <x:c r="L71" s="11"/>
      <x:c r="M71" s="11"/>
      <x:c r="N71" s="15"/>
      <x:c r="O71" s="14"/>
      <x:c r="P71" s="11"/>
    </x:row>
    <x:row r="72" ht="60" customHeight="1">
      <x:c r="A72" s="11"/>
      <x:c r="B72" s="11"/>
      <x:c r="C72" s="11"/>
      <x:c r="D72" s="11"/>
      <x:c r="E72" s="11"/>
      <x:c r="F72" s="11"/>
      <x:c r="G72" s="11"/>
      <x:c r="H72" s="11"/>
      <x:c r="I72" s="15"/>
      <x:c r="J72" s="11"/>
      <x:c r="K72" s="11"/>
      <x:c r="L72" s="11"/>
      <x:c r="M72" s="11"/>
      <x:c r="N72" s="15"/>
      <x:c r="O72" s="14"/>
      <x:c r="P72" s="11"/>
    </x:row>
    <x:row r="73" ht="60" customHeight="1">
      <x:c r="A73" s="11"/>
      <x:c r="B73" s="11"/>
      <x:c r="C73" s="11"/>
      <x:c r="D73" s="11"/>
      <x:c r="E73" s="11"/>
      <x:c r="F73" s="11"/>
      <x:c r="G73" s="11"/>
      <x:c r="H73" s="11"/>
      <x:c r="I73" s="15"/>
      <x:c r="J73" s="11"/>
      <x:c r="K73" s="11"/>
      <x:c r="L73" s="11"/>
      <x:c r="M73" s="11"/>
      <x:c r="N73" s="15"/>
      <x:c r="O73" s="14"/>
      <x:c r="P73" s="11"/>
    </x:row>
    <x:row r="74" ht="60" customHeight="1">
      <x:c r="A74" s="11"/>
      <x:c r="B74" s="11"/>
      <x:c r="C74" s="11"/>
      <x:c r="D74" s="11"/>
      <x:c r="E74" s="11"/>
      <x:c r="F74" s="11"/>
      <x:c r="G74" s="11"/>
      <x:c r="H74" s="11"/>
      <x:c r="I74" s="15"/>
      <x:c r="J74" s="11"/>
      <x:c r="K74" s="11"/>
      <x:c r="L74" s="11"/>
      <x:c r="M74" s="11"/>
      <x:c r="N74" s="15"/>
      <x:c r="O74" s="14"/>
      <x:c r="P74" s="11"/>
    </x:row>
    <x:row r="75" ht="60" customHeight="1">
      <x:c r="A75" s="11"/>
      <x:c r="B75" s="11"/>
      <x:c r="C75" s="11"/>
      <x:c r="D75" s="11"/>
      <x:c r="E75" s="11"/>
      <x:c r="F75" s="11"/>
      <x:c r="G75" s="11"/>
      <x:c r="H75" s="11"/>
      <x:c r="I75" s="15"/>
      <x:c r="J75" s="11"/>
      <x:c r="K75" s="11"/>
      <x:c r="L75" s="11"/>
      <x:c r="M75" s="11"/>
      <x:c r="N75" s="15"/>
      <x:c r="O75" s="14"/>
      <x:c r="P75" s="11"/>
    </x:row>
    <x:row r="76" ht="60" customHeight="1">
      <x:c r="A76" s="11"/>
      <x:c r="B76" s="11"/>
      <x:c r="C76" s="11"/>
      <x:c r="D76" s="11"/>
      <x:c r="E76" s="11"/>
      <x:c r="F76" s="11"/>
      <x:c r="G76" s="11"/>
      <x:c r="H76" s="11"/>
      <x:c r="I76" s="15"/>
      <x:c r="J76" s="11"/>
      <x:c r="K76" s="11"/>
      <x:c r="L76" s="11"/>
      <x:c r="M76" s="11"/>
      <x:c r="N76" s="15"/>
      <x:c r="O76" s="14"/>
      <x:c r="P76" s="11"/>
    </x:row>
    <x:row r="77" ht="60" customHeight="1">
      <x:c r="A77" s="11"/>
      <x:c r="B77" s="11"/>
      <x:c r="C77" s="11"/>
      <x:c r="D77" s="11"/>
      <x:c r="E77" s="11"/>
      <x:c r="F77" s="11"/>
      <x:c r="G77" s="11"/>
      <x:c r="H77" s="11"/>
      <x:c r="I77" s="15"/>
      <x:c r="J77" s="11"/>
      <x:c r="K77" s="11"/>
      <x:c r="L77" s="11"/>
      <x:c r="M77" s="11"/>
      <x:c r="N77" s="15"/>
      <x:c r="O77" s="14"/>
      <x:c r="P77" s="11"/>
    </x:row>
    <x:row r="78" ht="60" customHeight="1">
      <x:c r="A78" s="11"/>
      <x:c r="B78" s="11"/>
      <x:c r="C78" s="11"/>
      <x:c r="D78" s="11"/>
      <x:c r="E78" s="11"/>
      <x:c r="F78" s="11"/>
      <x:c r="G78" s="11"/>
      <x:c r="H78" s="11"/>
      <x:c r="I78" s="15"/>
      <x:c r="J78" s="11"/>
      <x:c r="K78" s="11"/>
      <x:c r="L78" s="11"/>
      <x:c r="M78" s="11"/>
      <x:c r="N78" s="15"/>
      <x:c r="O78" s="14"/>
      <x:c r="P78" s="11"/>
    </x:row>
    <x:row r="79" ht="60" customHeight="1">
      <x:c r="A79" s="11"/>
      <x:c r="B79" s="11"/>
      <x:c r="C79" s="11"/>
      <x:c r="D79" s="11"/>
      <x:c r="E79" s="11"/>
      <x:c r="F79" s="11"/>
      <x:c r="G79" s="11"/>
      <x:c r="H79" s="11"/>
      <x:c r="I79" s="15"/>
      <x:c r="J79" s="11"/>
      <x:c r="K79" s="11"/>
      <x:c r="L79" s="11"/>
      <x:c r="M79" s="11"/>
      <x:c r="N79" s="15"/>
      <x:c r="O79" s="14"/>
      <x:c r="P79" s="11"/>
    </x:row>
    <x:row r="80" ht="60" customHeight="1">
      <x:c r="A80" s="11"/>
      <x:c r="B80" s="11"/>
      <x:c r="C80" s="11"/>
      <x:c r="D80" s="11"/>
      <x:c r="E80" s="11"/>
      <x:c r="F80" s="11"/>
      <x:c r="G80" s="11"/>
      <x:c r="H80" s="11"/>
      <x:c r="I80" s="15"/>
      <x:c r="J80" s="11"/>
      <x:c r="K80" s="11"/>
      <x:c r="L80" s="11"/>
      <x:c r="M80" s="11"/>
      <x:c r="N80" s="15"/>
      <x:c r="O80" s="14"/>
      <x:c r="P80" s="11"/>
    </x:row>
    <x:row r="81" ht="60" customHeight="1">
      <x:c r="A81" s="11"/>
      <x:c r="B81" s="11"/>
      <x:c r="C81" s="11"/>
      <x:c r="D81" s="11"/>
      <x:c r="E81" s="11"/>
      <x:c r="F81" s="11"/>
      <x:c r="G81" s="11"/>
      <x:c r="H81" s="11"/>
      <x:c r="I81" s="15"/>
      <x:c r="J81" s="11"/>
      <x:c r="K81" s="11"/>
      <x:c r="L81" s="11"/>
      <x:c r="M81" s="11"/>
      <x:c r="N81" s="15"/>
      <x:c r="O81" s="14"/>
      <x:c r="P81" s="11"/>
    </x:row>
    <x:row r="82" ht="60" customHeight="1">
      <x:c r="A82" s="11"/>
      <x:c r="B82" s="11"/>
      <x:c r="C82" s="11"/>
      <x:c r="D82" s="11"/>
      <x:c r="E82" s="11"/>
      <x:c r="F82" s="11"/>
      <x:c r="G82" s="11"/>
      <x:c r="H82" s="11"/>
      <x:c r="I82" s="15"/>
      <x:c r="J82" s="11"/>
      <x:c r="K82" s="11"/>
      <x:c r="L82" s="11"/>
      <x:c r="M82" s="11"/>
      <x:c r="N82" s="15"/>
      <x:c r="O82" s="14"/>
      <x:c r="P82" s="11"/>
    </x:row>
    <x:row r="83" ht="60" customHeight="1">
      <x:c r="A83" s="11"/>
      <x:c r="B83" s="11"/>
      <x:c r="C83" s="11"/>
      <x:c r="D83" s="11"/>
      <x:c r="E83" s="11"/>
      <x:c r="F83" s="11"/>
      <x:c r="G83" s="11"/>
      <x:c r="H83" s="11"/>
      <x:c r="I83" s="15"/>
      <x:c r="J83" s="11"/>
      <x:c r="K83" s="11"/>
      <x:c r="L83" s="11"/>
      <x:c r="M83" s="11"/>
      <x:c r="N83" s="15"/>
      <x:c r="O83" s="14"/>
      <x:c r="P83" s="11"/>
    </x:row>
    <x:row r="84" ht="60" customHeight="1">
      <x:c r="A84" s="11"/>
      <x:c r="B84" s="11"/>
      <x:c r="C84" s="11"/>
      <x:c r="D84" s="11"/>
      <x:c r="E84" s="11"/>
      <x:c r="F84" s="11"/>
      <x:c r="G84" s="11"/>
      <x:c r="H84" s="11"/>
      <x:c r="I84" s="15"/>
      <x:c r="J84" s="11"/>
      <x:c r="K84" s="11"/>
      <x:c r="L84" s="11"/>
      <x:c r="M84" s="11"/>
      <x:c r="N84" s="15"/>
      <x:c r="O84" s="14"/>
      <x:c r="P84" s="11"/>
    </x:row>
    <x:row r="85" ht="60" customHeight="1">
      <x:c r="A85" s="11"/>
      <x:c r="B85" s="11"/>
      <x:c r="C85" s="11"/>
      <x:c r="D85" s="11"/>
      <x:c r="E85" s="11"/>
      <x:c r="F85" s="11"/>
      <x:c r="G85" s="11"/>
      <x:c r="H85" s="11"/>
      <x:c r="I85" s="15"/>
      <x:c r="J85" s="11"/>
      <x:c r="K85" s="11"/>
      <x:c r="L85" s="11"/>
      <x:c r="M85" s="11"/>
      <x:c r="N85" s="15"/>
      <x:c r="O85" s="14"/>
      <x:c r="P85" s="11"/>
    </x:row>
    <x:row r="86" ht="60" customHeight="1">
      <x:c r="A86" s="11"/>
      <x:c r="B86" s="11"/>
      <x:c r="C86" s="11"/>
      <x:c r="D86" s="11"/>
      <x:c r="E86" s="11"/>
      <x:c r="F86" s="11"/>
      <x:c r="G86" s="11"/>
      <x:c r="H86" s="11"/>
      <x:c r="I86" s="15"/>
      <x:c r="J86" s="11"/>
      <x:c r="K86" s="11"/>
      <x:c r="L86" s="11"/>
      <x:c r="M86" s="11"/>
      <x:c r="N86" s="15"/>
      <x:c r="O86" s="14"/>
      <x:c r="P86" s="11"/>
    </x:row>
    <x:row r="87" ht="60" customHeight="1">
      <x:c r="A87" s="11"/>
      <x:c r="B87" s="11"/>
      <x:c r="C87" s="11"/>
      <x:c r="D87" s="11"/>
      <x:c r="E87" s="11"/>
      <x:c r="F87" s="11"/>
      <x:c r="G87" s="11"/>
      <x:c r="H87" s="11"/>
      <x:c r="I87" s="15"/>
      <x:c r="J87" s="11"/>
      <x:c r="K87" s="11"/>
      <x:c r="L87" s="11"/>
      <x:c r="M87" s="11"/>
      <x:c r="N87" s="15"/>
      <x:c r="O87" s="14"/>
      <x:c r="P87" s="11"/>
    </x:row>
    <x:row r="88" ht="60" customHeight="1">
      <x:c r="A88" s="11"/>
      <x:c r="B88" s="11"/>
      <x:c r="C88" s="11"/>
      <x:c r="D88" s="11"/>
      <x:c r="E88" s="11"/>
      <x:c r="F88" s="11"/>
      <x:c r="G88" s="11"/>
      <x:c r="H88" s="11"/>
      <x:c r="I88" s="15"/>
      <x:c r="J88" s="11"/>
      <x:c r="K88" s="11"/>
      <x:c r="L88" s="11"/>
      <x:c r="M88" s="11"/>
      <x:c r="N88" s="15"/>
      <x:c r="O88" s="14"/>
      <x:c r="P88" s="11"/>
    </x:row>
    <x:row r="89" ht="60" customHeight="1">
      <x:c r="A89" s="11"/>
      <x:c r="B89" s="11"/>
      <x:c r="C89" s="11"/>
      <x:c r="D89" s="11"/>
      <x:c r="E89" s="11"/>
      <x:c r="F89" s="11"/>
      <x:c r="G89" s="11"/>
      <x:c r="H89" s="11"/>
      <x:c r="I89" s="15"/>
      <x:c r="J89" s="11"/>
      <x:c r="K89" s="11"/>
      <x:c r="L89" s="11"/>
      <x:c r="M89" s="11"/>
      <x:c r="N89" s="15"/>
      <x:c r="O89" s="14"/>
      <x:c r="P89" s="11"/>
    </x:row>
    <x:row r="90" ht="60" customHeight="1">
      <x:c r="A90" s="11"/>
      <x:c r="B90" s="11"/>
      <x:c r="C90" s="11"/>
      <x:c r="D90" s="11"/>
      <x:c r="E90" s="11"/>
      <x:c r="F90" s="11"/>
      <x:c r="G90" s="11"/>
      <x:c r="H90" s="11"/>
      <x:c r="I90" s="15"/>
      <x:c r="J90" s="11"/>
      <x:c r="K90" s="11"/>
      <x:c r="L90" s="11"/>
      <x:c r="M90" s="11"/>
      <x:c r="N90" s="15"/>
      <x:c r="O90" s="14"/>
      <x:c r="P90" s="11"/>
    </x:row>
    <x:row r="91" ht="60" customHeight="1">
      <x:c r="A91" s="11"/>
      <x:c r="B91" s="11"/>
      <x:c r="C91" s="11"/>
      <x:c r="D91" s="11"/>
      <x:c r="E91" s="11"/>
      <x:c r="F91" s="11"/>
      <x:c r="G91" s="11"/>
      <x:c r="H91" s="11"/>
      <x:c r="I91" s="15"/>
      <x:c r="J91" s="11"/>
      <x:c r="K91" s="11"/>
      <x:c r="L91" s="11"/>
      <x:c r="M91" s="11"/>
      <x:c r="N91" s="15"/>
      <x:c r="O91" s="14"/>
      <x:c r="P91" s="11"/>
    </x:row>
    <x:row r="92" ht="60" customHeight="1">
      <x:c r="A92" s="11"/>
      <x:c r="B92" s="11"/>
      <x:c r="C92" s="11"/>
      <x:c r="D92" s="11"/>
      <x:c r="E92" s="11"/>
      <x:c r="F92" s="11"/>
      <x:c r="G92" s="11"/>
      <x:c r="H92" s="11"/>
      <x:c r="I92" s="15"/>
      <x:c r="J92" s="11"/>
      <x:c r="K92" s="11"/>
      <x:c r="L92" s="11"/>
      <x:c r="M92" s="11"/>
      <x:c r="N92" s="15"/>
      <x:c r="O92" s="14"/>
      <x:c r="P92" s="11"/>
    </x:row>
    <x:row r="93" ht="60" customHeight="1">
      <x:c r="A93" s="11"/>
      <x:c r="B93" s="11"/>
      <x:c r="C93" s="11"/>
      <x:c r="D93" s="11"/>
      <x:c r="E93" s="11"/>
      <x:c r="F93" s="11"/>
      <x:c r="G93" s="11"/>
      <x:c r="H93" s="11"/>
      <x:c r="I93" s="15"/>
      <x:c r="J93" s="11"/>
      <x:c r="K93" s="11"/>
      <x:c r="L93" s="11"/>
      <x:c r="M93" s="11"/>
      <x:c r="N93" s="15"/>
      <x:c r="O93" s="14"/>
      <x:c r="P93" s="11"/>
    </x:row>
    <x:row r="94" ht="60" customHeight="1">
      <x:c r="A94" s="11"/>
      <x:c r="B94" s="11"/>
      <x:c r="C94" s="11"/>
      <x:c r="D94" s="11"/>
      <x:c r="E94" s="11"/>
      <x:c r="F94" s="11"/>
      <x:c r="G94" s="11"/>
      <x:c r="H94" s="11"/>
      <x:c r="I94" s="15"/>
      <x:c r="J94" s="11"/>
      <x:c r="K94" s="11"/>
      <x:c r="L94" s="11"/>
      <x:c r="M94" s="11"/>
      <x:c r="N94" s="15"/>
      <x:c r="O94" s="14"/>
      <x:c r="P94" s="11"/>
    </x:row>
    <x:row r="95" ht="60" customHeight="1">
      <x:c r="A95" s="11"/>
      <x:c r="B95" s="11"/>
      <x:c r="C95" s="11"/>
      <x:c r="D95" s="11"/>
      <x:c r="E95" s="11"/>
      <x:c r="F95" s="11"/>
      <x:c r="G95" s="11"/>
      <x:c r="H95" s="11"/>
      <x:c r="I95" s="15"/>
      <x:c r="J95" s="11"/>
      <x:c r="K95" s="11"/>
      <x:c r="L95" s="11"/>
      <x:c r="M95" s="11"/>
      <x:c r="N95" s="15"/>
      <x:c r="O95" s="14"/>
      <x:c r="P95" s="11"/>
    </x:row>
    <x:row r="96" ht="60" customHeight="1">
      <x:c r="A96" s="11"/>
      <x:c r="B96" s="11"/>
      <x:c r="C96" s="11"/>
      <x:c r="D96" s="11"/>
      <x:c r="E96" s="11"/>
      <x:c r="F96" s="11"/>
      <x:c r="G96" s="11"/>
      <x:c r="H96" s="11"/>
      <x:c r="I96" s="15"/>
      <x:c r="J96" s="11"/>
      <x:c r="K96" s="11"/>
      <x:c r="L96" s="11"/>
      <x:c r="M96" s="11"/>
      <x:c r="N96" s="15"/>
      <x:c r="O96" s="14"/>
      <x:c r="P96" s="11"/>
    </x:row>
    <x:row r="97" ht="60" customHeight="1">
      <x:c r="A97" s="11"/>
      <x:c r="B97" s="11"/>
      <x:c r="C97" s="11"/>
      <x:c r="D97" s="11"/>
      <x:c r="E97" s="11"/>
      <x:c r="F97" s="11"/>
      <x:c r="G97" s="11"/>
      <x:c r="H97" s="11"/>
      <x:c r="I97" s="15"/>
      <x:c r="J97" s="11"/>
      <x:c r="K97" s="11"/>
      <x:c r="L97" s="11"/>
      <x:c r="M97" s="11"/>
      <x:c r="N97" s="15"/>
      <x:c r="O97" s="14"/>
      <x:c r="P97" s="11"/>
    </x:row>
    <x:row r="98" ht="60" customHeight="1">
      <x:c r="A98" s="11"/>
      <x:c r="B98" s="11"/>
      <x:c r="C98" s="11"/>
      <x:c r="D98" s="11"/>
      <x:c r="E98" s="11"/>
      <x:c r="F98" s="11"/>
      <x:c r="G98" s="11"/>
      <x:c r="H98" s="11"/>
      <x:c r="I98" s="15"/>
      <x:c r="J98" s="11"/>
      <x:c r="K98" s="11"/>
      <x:c r="L98" s="11"/>
      <x:c r="M98" s="11"/>
      <x:c r="N98" s="15"/>
      <x:c r="O98" s="14"/>
      <x:c r="P98" s="11"/>
    </x:row>
    <x:row r="99" ht="60" customHeight="1">
      <x:c r="A99" s="11"/>
      <x:c r="B99" s="11"/>
      <x:c r="C99" s="11"/>
      <x:c r="D99" s="11"/>
      <x:c r="E99" s="11"/>
      <x:c r="F99" s="11"/>
      <x:c r="G99" s="11"/>
      <x:c r="H99" s="11"/>
      <x:c r="I99" s="15"/>
      <x:c r="J99" s="11"/>
      <x:c r="K99" s="11"/>
      <x:c r="L99" s="11"/>
      <x:c r="M99" s="11"/>
      <x:c r="N99" s="15"/>
      <x:c r="O99" s="14"/>
      <x:c r="P99" s="11"/>
    </x:row>
    <x:row r="100" ht="60" customHeight="1">
      <x:c r="A100" s="11"/>
      <x:c r="B100" s="11"/>
      <x:c r="C100" s="11"/>
      <x:c r="D100" s="11"/>
      <x:c r="E100" s="11"/>
      <x:c r="F100" s="11"/>
      <x:c r="G100" s="11"/>
      <x:c r="H100" s="11"/>
      <x:c r="I100" s="15"/>
      <x:c r="J100" s="11"/>
      <x:c r="K100" s="11"/>
      <x:c r="L100" s="11"/>
      <x:c r="M100" s="11"/>
      <x:c r="N100" s="15"/>
      <x:c r="O100" s="14"/>
      <x:c r="P100" s="11"/>
    </x:row>
    <x:row r="101" ht="60" customHeight="1">
      <x:c r="A101" s="11"/>
      <x:c r="B101" s="11"/>
      <x:c r="C101" s="11"/>
      <x:c r="D101" s="11"/>
      <x:c r="E101" s="11"/>
      <x:c r="F101" s="11"/>
      <x:c r="G101" s="11"/>
      <x:c r="H101" s="11"/>
      <x:c r="I101" s="15"/>
      <x:c r="J101" s="11"/>
      <x:c r="K101" s="11"/>
      <x:c r="L101" s="11"/>
      <x:c r="M101" s="11"/>
      <x:c r="N101" s="15"/>
      <x:c r="O101" s="14"/>
      <x:c r="P101" s="11"/>
    </x:row>
    <x:row r="102" ht="60" customHeight="1">
      <x:c r="A102" s="11"/>
      <x:c r="B102" s="11"/>
      <x:c r="C102" s="11"/>
      <x:c r="D102" s="11"/>
      <x:c r="E102" s="11"/>
      <x:c r="F102" s="11"/>
      <x:c r="G102" s="11"/>
      <x:c r="H102" s="11"/>
      <x:c r="I102" s="15"/>
      <x:c r="J102" s="11"/>
      <x:c r="K102" s="11"/>
      <x:c r="L102" s="11"/>
      <x:c r="M102" s="11"/>
      <x:c r="N102" s="15"/>
      <x:c r="O102" s="14"/>
      <x:c r="P102" s="11"/>
    </x:row>
    <x:row r="103" ht="60" customHeight="1">
      <x:c r="A103" s="11"/>
      <x:c r="B103" s="11"/>
      <x:c r="C103" s="11"/>
      <x:c r="D103" s="11"/>
      <x:c r="E103" s="11"/>
      <x:c r="F103" s="11"/>
      <x:c r="G103" s="11"/>
      <x:c r="H103" s="11"/>
      <x:c r="I103" s="15"/>
      <x:c r="J103" s="11"/>
      <x:c r="K103" s="11"/>
      <x:c r="L103" s="11"/>
      <x:c r="M103" s="11"/>
      <x:c r="N103" s="15"/>
      <x:c r="O103" s="14"/>
      <x:c r="P103" s="11"/>
    </x:row>
    <x:row r="104" ht="60" customHeight="1">
      <x:c r="A104" s="11"/>
      <x:c r="B104" s="11"/>
      <x:c r="C104" s="11"/>
      <x:c r="D104" s="11"/>
      <x:c r="E104" s="11"/>
      <x:c r="F104" s="11"/>
      <x:c r="G104" s="11"/>
      <x:c r="H104" s="11"/>
      <x:c r="I104" s="15"/>
      <x:c r="J104" s="11"/>
      <x:c r="K104" s="11"/>
      <x:c r="L104" s="11"/>
      <x:c r="M104" s="11"/>
      <x:c r="N104" s="15"/>
      <x:c r="O104" s="14"/>
      <x:c r="P104" s="11"/>
    </x:row>
    <x:row r="105" ht="60" customHeight="1">
      <x:c r="A105" s="11"/>
      <x:c r="B105" s="11"/>
      <x:c r="C105" s="11"/>
      <x:c r="D105" s="11"/>
      <x:c r="E105" s="11"/>
      <x:c r="F105" s="11"/>
      <x:c r="G105" s="11"/>
      <x:c r="H105" s="11"/>
      <x:c r="I105" s="15"/>
      <x:c r="J105" s="11"/>
      <x:c r="K105" s="11"/>
      <x:c r="L105" s="11"/>
      <x:c r="M105" s="11"/>
      <x:c r="N105" s="15"/>
      <x:c r="O105" s="14"/>
      <x:c r="P105" s="11"/>
    </x:row>
    <x:row r="106" ht="60" customHeight="1">
      <x:c r="A106" s="11"/>
      <x:c r="B106" s="11"/>
      <x:c r="C106" s="11"/>
      <x:c r="D106" s="11"/>
      <x:c r="E106" s="11"/>
      <x:c r="F106" s="11"/>
      <x:c r="G106" s="11"/>
      <x:c r="H106" s="11"/>
      <x:c r="I106" s="15"/>
      <x:c r="J106" s="11"/>
      <x:c r="K106" s="11"/>
      <x:c r="L106" s="11"/>
      <x:c r="M106" s="11"/>
      <x:c r="N106" s="15"/>
      <x:c r="O106" s="14"/>
      <x:c r="P106" s="11"/>
    </x:row>
    <x:row r="107" ht="60" customHeight="1">
      <x:c r="A107" s="11"/>
      <x:c r="B107" s="11"/>
      <x:c r="C107" s="11"/>
      <x:c r="D107" s="11"/>
      <x:c r="E107" s="11"/>
      <x:c r="F107" s="11"/>
      <x:c r="G107" s="11"/>
      <x:c r="H107" s="11"/>
      <x:c r="I107" s="15"/>
      <x:c r="J107" s="11"/>
      <x:c r="K107" s="11"/>
      <x:c r="L107" s="11"/>
      <x:c r="M107" s="11"/>
      <x:c r="N107" s="15"/>
      <x:c r="O107" s="14"/>
      <x:c r="P107" s="11"/>
    </x:row>
    <x:row r="108" ht="60" customHeight="1">
      <x:c r="A108" s="11"/>
      <x:c r="B108" s="11"/>
      <x:c r="C108" s="11"/>
      <x:c r="D108" s="11"/>
      <x:c r="E108" s="11"/>
      <x:c r="F108" s="11"/>
      <x:c r="G108" s="11"/>
      <x:c r="H108" s="11"/>
      <x:c r="I108" s="15"/>
      <x:c r="J108" s="11"/>
      <x:c r="K108" s="11"/>
      <x:c r="L108" s="11"/>
      <x:c r="M108" s="11"/>
      <x:c r="N108" s="15"/>
      <x:c r="O108" s="14"/>
      <x:c r="P108" s="11"/>
    </x:row>
    <x:row r="109" ht="60" customHeight="1">
      <x:c r="A109" s="11"/>
      <x:c r="B109" s="11"/>
      <x:c r="C109" s="11"/>
      <x:c r="D109" s="11"/>
      <x:c r="E109" s="11"/>
      <x:c r="F109" s="11"/>
      <x:c r="G109" s="11"/>
      <x:c r="H109" s="11"/>
      <x:c r="I109" s="15"/>
      <x:c r="J109" s="11"/>
      <x:c r="K109" s="11"/>
      <x:c r="L109" s="11"/>
      <x:c r="M109" s="11"/>
      <x:c r="N109" s="15"/>
      <x:c r="O109" s="14"/>
      <x:c r="P109" s="11"/>
    </x:row>
    <x:row r="110" ht="60" customHeight="1">
      <x:c r="A110" s="11"/>
      <x:c r="B110" s="11"/>
      <x:c r="C110" s="11"/>
      <x:c r="D110" s="11"/>
      <x:c r="E110" s="11"/>
      <x:c r="F110" s="11"/>
      <x:c r="G110" s="11"/>
      <x:c r="H110" s="11"/>
      <x:c r="I110" s="15"/>
      <x:c r="J110" s="11"/>
      <x:c r="K110" s="11"/>
      <x:c r="L110" s="11"/>
      <x:c r="M110" s="11"/>
      <x:c r="N110" s="15"/>
      <x:c r="O110" s="14"/>
      <x:c r="P110" s="11"/>
    </x:row>
    <x:row r="111" ht="60" customHeight="1">
      <x:c r="A111" s="11"/>
      <x:c r="B111" s="11"/>
      <x:c r="C111" s="11"/>
      <x:c r="D111" s="11"/>
      <x:c r="E111" s="11"/>
      <x:c r="F111" s="11"/>
      <x:c r="G111" s="11"/>
      <x:c r="H111" s="11"/>
      <x:c r="I111" s="15"/>
      <x:c r="J111" s="11"/>
      <x:c r="K111" s="11"/>
      <x:c r="L111" s="11"/>
      <x:c r="M111" s="11"/>
      <x:c r="N111" s="15"/>
      <x:c r="O111" s="14"/>
      <x:c r="P111" s="11"/>
    </x:row>
    <x:row r="112" ht="60" customHeight="1">
      <x:c r="A112" s="11"/>
      <x:c r="B112" s="11"/>
      <x:c r="C112" s="11"/>
      <x:c r="D112" s="11"/>
      <x:c r="E112" s="11"/>
      <x:c r="F112" s="11"/>
      <x:c r="G112" s="11"/>
      <x:c r="H112" s="11"/>
      <x:c r="I112" s="15"/>
      <x:c r="J112" s="11"/>
      <x:c r="K112" s="11"/>
      <x:c r="L112" s="11"/>
      <x:c r="M112" s="11"/>
      <x:c r="N112" s="15"/>
      <x:c r="O112" s="14"/>
      <x:c r="P112" s="11"/>
    </x:row>
    <x:row r="113" ht="60" customHeight="1">
      <x:c r="A113" s="11"/>
      <x:c r="B113" s="11"/>
      <x:c r="C113" s="11"/>
      <x:c r="D113" s="11"/>
      <x:c r="E113" s="11"/>
      <x:c r="F113" s="11"/>
      <x:c r="G113" s="11"/>
      <x:c r="H113" s="11"/>
      <x:c r="I113" s="15"/>
      <x:c r="J113" s="11"/>
      <x:c r="K113" s="11"/>
      <x:c r="L113" s="11"/>
      <x:c r="M113" s="11"/>
      <x:c r="N113" s="15"/>
      <x:c r="O113" s="14"/>
      <x:c r="P113" s="11"/>
    </x:row>
    <x:row r="114" ht="60" customHeight="1">
      <x:c r="A114" s="11"/>
      <x:c r="B114" s="11"/>
      <x:c r="C114" s="11"/>
      <x:c r="D114" s="11"/>
      <x:c r="E114" s="11"/>
      <x:c r="F114" s="11"/>
      <x:c r="G114" s="11"/>
      <x:c r="H114" s="11"/>
      <x:c r="I114" s="15"/>
      <x:c r="J114" s="11"/>
      <x:c r="K114" s="11"/>
      <x:c r="L114" s="11"/>
      <x:c r="M114" s="11"/>
      <x:c r="N114" s="15"/>
      <x:c r="O114" s="14"/>
      <x:c r="P114" s="11"/>
    </x:row>
    <x:row r="115" ht="60" customHeight="1">
      <x:c r="A115" s="11"/>
      <x:c r="B115" s="11"/>
      <x:c r="C115" s="11"/>
      <x:c r="D115" s="11"/>
      <x:c r="E115" s="11"/>
      <x:c r="F115" s="11"/>
      <x:c r="G115" s="11"/>
      <x:c r="H115" s="11"/>
      <x:c r="I115" s="15"/>
      <x:c r="J115" s="11"/>
      <x:c r="K115" s="11"/>
      <x:c r="L115" s="11"/>
      <x:c r="M115" s="11"/>
      <x:c r="N115" s="15"/>
      <x:c r="O115" s="14"/>
      <x:c r="P115" s="11"/>
    </x:row>
    <x:row r="116" ht="60" customHeight="1">
      <x:c r="A116" s="11"/>
      <x:c r="B116" s="11"/>
      <x:c r="C116" s="11"/>
      <x:c r="D116" s="11"/>
      <x:c r="E116" s="11"/>
      <x:c r="F116" s="11"/>
      <x:c r="G116" s="11"/>
      <x:c r="H116" s="11"/>
      <x:c r="I116" s="15"/>
      <x:c r="J116" s="11"/>
      <x:c r="K116" s="11"/>
      <x:c r="L116" s="11"/>
      <x:c r="M116" s="11"/>
      <x:c r="N116" s="15"/>
      <x:c r="O116" s="14"/>
      <x:c r="P116" s="11"/>
    </x:row>
    <x:row r="117" ht="60" customHeight="1">
      <x:c r="A117" s="11"/>
      <x:c r="B117" s="11"/>
      <x:c r="C117" s="11"/>
      <x:c r="D117" s="11"/>
      <x:c r="E117" s="11"/>
      <x:c r="F117" s="11"/>
      <x:c r="G117" s="11"/>
      <x:c r="H117" s="11"/>
      <x:c r="I117" s="15"/>
      <x:c r="J117" s="11"/>
      <x:c r="K117" s="11"/>
      <x:c r="L117" s="11"/>
      <x:c r="M117" s="11"/>
      <x:c r="N117" s="15"/>
      <x:c r="O117" s="14"/>
      <x:c r="P117" s="11"/>
    </x:row>
    <x:row r="118" ht="60" customHeight="1">
      <x:c r="A118" s="11"/>
      <x:c r="B118" s="11"/>
      <x:c r="C118" s="11"/>
      <x:c r="D118" s="11"/>
      <x:c r="E118" s="11"/>
      <x:c r="F118" s="11"/>
      <x:c r="G118" s="11"/>
      <x:c r="H118" s="11"/>
      <x:c r="I118" s="15"/>
      <x:c r="J118" s="11"/>
      <x:c r="K118" s="11"/>
      <x:c r="L118" s="11"/>
      <x:c r="M118" s="11"/>
      <x:c r="N118" s="15"/>
      <x:c r="O118" s="14"/>
      <x:c r="P118" s="11"/>
    </x:row>
    <x:row r="119" ht="60" customHeight="1">
      <x:c r="A119" s="11"/>
      <x:c r="B119" s="11"/>
      <x:c r="C119" s="11"/>
      <x:c r="D119" s="11"/>
      <x:c r="E119" s="11"/>
      <x:c r="F119" s="11"/>
      <x:c r="G119" s="11"/>
      <x:c r="H119" s="11"/>
      <x:c r="I119" s="15"/>
      <x:c r="J119" s="11"/>
      <x:c r="K119" s="11"/>
      <x:c r="L119" s="11"/>
      <x:c r="M119" s="11"/>
      <x:c r="N119" s="15"/>
      <x:c r="O119" s="14"/>
      <x:c r="P119" s="11"/>
    </x:row>
    <x:row r="120" ht="60" customHeight="1">
      <x:c r="A120" s="11"/>
      <x:c r="B120" s="11"/>
      <x:c r="C120" s="11"/>
      <x:c r="D120" s="11"/>
      <x:c r="E120" s="11"/>
      <x:c r="F120" s="11"/>
      <x:c r="G120" s="11"/>
      <x:c r="H120" s="11"/>
      <x:c r="I120" s="15"/>
      <x:c r="J120" s="11"/>
      <x:c r="K120" s="11"/>
      <x:c r="L120" s="11"/>
      <x:c r="M120" s="11"/>
      <x:c r="N120" s="15"/>
      <x:c r="O120" s="14"/>
      <x:c r="P120" s="11"/>
    </x:row>
    <x:row r="121" ht="60" customHeight="1">
      <x:c r="A121" s="11"/>
      <x:c r="B121" s="11"/>
      <x:c r="C121" s="11"/>
      <x:c r="D121" s="11"/>
      <x:c r="E121" s="11"/>
      <x:c r="F121" s="11"/>
      <x:c r="G121" s="11"/>
      <x:c r="H121" s="11"/>
      <x:c r="I121" s="15"/>
      <x:c r="J121" s="11"/>
      <x:c r="K121" s="11"/>
      <x:c r="L121" s="11"/>
      <x:c r="M121" s="11"/>
      <x:c r="N121" s="15"/>
      <x:c r="O121" s="14"/>
      <x:c r="P121" s="11"/>
    </x:row>
    <x:row r="122" ht="60" customHeight="1">
      <x:c r="A122" s="11"/>
      <x:c r="B122" s="11"/>
      <x:c r="C122" s="11"/>
      <x:c r="D122" s="11"/>
      <x:c r="E122" s="11"/>
      <x:c r="F122" s="11"/>
      <x:c r="G122" s="11"/>
      <x:c r="H122" s="11"/>
      <x:c r="I122" s="15"/>
      <x:c r="J122" s="11"/>
      <x:c r="K122" s="11"/>
      <x:c r="L122" s="11"/>
      <x:c r="M122" s="11"/>
      <x:c r="N122" s="15"/>
      <x:c r="O122" s="14"/>
      <x:c r="P122" s="11"/>
    </x:row>
    <x:row r="123" ht="60" customHeight="1">
      <x:c r="A123" s="11"/>
      <x:c r="B123" s="11"/>
      <x:c r="C123" s="11"/>
      <x:c r="D123" s="11"/>
      <x:c r="E123" s="11"/>
      <x:c r="F123" s="11"/>
      <x:c r="G123" s="11"/>
      <x:c r="H123" s="11"/>
      <x:c r="I123" s="15"/>
      <x:c r="J123" s="11"/>
      <x:c r="K123" s="11"/>
      <x:c r="L123" s="11"/>
      <x:c r="M123" s="11"/>
      <x:c r="N123" s="15"/>
      <x:c r="O123" s="14"/>
      <x:c r="P123" s="11"/>
    </x:row>
    <x:row r="124" ht="60" customHeight="1">
      <x:c r="A124" s="11"/>
      <x:c r="B124" s="11"/>
      <x:c r="C124" s="11"/>
      <x:c r="D124" s="11"/>
      <x:c r="E124" s="11"/>
      <x:c r="F124" s="11"/>
      <x:c r="G124" s="11"/>
      <x:c r="H124" s="11"/>
      <x:c r="I124" s="15"/>
      <x:c r="J124" s="11"/>
      <x:c r="K124" s="11"/>
      <x:c r="L124" s="11"/>
      <x:c r="M124" s="11"/>
      <x:c r="N124" s="15"/>
      <x:c r="O124" s="14"/>
      <x:c r="P124" s="11"/>
    </x:row>
    <x:row r="125" ht="60" customHeight="1">
      <x:c r="A125" s="11"/>
      <x:c r="B125" s="11"/>
      <x:c r="C125" s="11"/>
      <x:c r="D125" s="11"/>
      <x:c r="E125" s="11"/>
      <x:c r="F125" s="11"/>
      <x:c r="G125" s="11"/>
      <x:c r="H125" s="11"/>
      <x:c r="I125" s="15"/>
      <x:c r="J125" s="11"/>
      <x:c r="K125" s="11"/>
      <x:c r="L125" s="11"/>
      <x:c r="M125" s="11"/>
      <x:c r="N125" s="15"/>
      <x:c r="O125" s="14"/>
      <x:c r="P125" s="11"/>
    </x:row>
    <x:row r="126" ht="60" customHeight="1">
      <x:c r="A126" s="11"/>
      <x:c r="B126" s="11"/>
      <x:c r="C126" s="11"/>
      <x:c r="D126" s="11"/>
      <x:c r="E126" s="11"/>
      <x:c r="F126" s="11"/>
      <x:c r="G126" s="11"/>
      <x:c r="H126" s="11"/>
      <x:c r="I126" s="15"/>
      <x:c r="J126" s="11"/>
      <x:c r="K126" s="11"/>
      <x:c r="L126" s="11"/>
      <x:c r="M126" s="11"/>
      <x:c r="N126" s="15"/>
      <x:c r="O126" s="14"/>
      <x:c r="P126" s="11"/>
    </x:row>
    <x:row r="127" ht="60" customHeight="1">
      <x:c r="A127" s="11"/>
      <x:c r="B127" s="11"/>
      <x:c r="C127" s="11"/>
      <x:c r="D127" s="11"/>
      <x:c r="E127" s="11"/>
      <x:c r="F127" s="11"/>
      <x:c r="G127" s="11"/>
      <x:c r="H127" s="11"/>
      <x:c r="I127" s="15"/>
      <x:c r="J127" s="11"/>
      <x:c r="K127" s="11"/>
      <x:c r="L127" s="11"/>
      <x:c r="M127" s="11"/>
      <x:c r="N127" s="15"/>
      <x:c r="O127" s="14"/>
      <x:c r="P127" s="11"/>
    </x:row>
    <x:row r="128" ht="60" customHeight="1">
      <x:c r="A128" s="11"/>
      <x:c r="B128" s="11"/>
      <x:c r="C128" s="11"/>
      <x:c r="D128" s="11"/>
      <x:c r="E128" s="11"/>
      <x:c r="F128" s="11"/>
      <x:c r="G128" s="11"/>
      <x:c r="H128" s="11"/>
      <x:c r="I128" s="15"/>
      <x:c r="J128" s="11"/>
      <x:c r="K128" s="11"/>
      <x:c r="L128" s="11"/>
      <x:c r="M128" s="11"/>
      <x:c r="N128" s="15"/>
      <x:c r="O128" s="14"/>
      <x:c r="P128" s="11"/>
    </x:row>
    <x:row r="129" ht="60" customHeight="1">
      <x:c r="A129" s="11"/>
      <x:c r="B129" s="11"/>
      <x:c r="C129" s="11"/>
      <x:c r="D129" s="11"/>
      <x:c r="E129" s="11"/>
      <x:c r="F129" s="11"/>
      <x:c r="G129" s="11"/>
      <x:c r="H129" s="11"/>
      <x:c r="I129" s="15"/>
      <x:c r="J129" s="11"/>
      <x:c r="K129" s="11"/>
      <x:c r="L129" s="11"/>
      <x:c r="M129" s="11"/>
      <x:c r="N129" s="15"/>
      <x:c r="O129" s="14"/>
      <x:c r="P129" s="11"/>
    </x:row>
    <x:row r="130" ht="60" customHeight="1">
      <x:c r="A130" s="11"/>
      <x:c r="B130" s="11"/>
      <x:c r="C130" s="11"/>
      <x:c r="D130" s="11"/>
      <x:c r="E130" s="11"/>
      <x:c r="F130" s="11"/>
      <x:c r="G130" s="11"/>
      <x:c r="H130" s="11"/>
      <x:c r="I130" s="15"/>
      <x:c r="J130" s="11"/>
      <x:c r="K130" s="11"/>
      <x:c r="L130" s="11"/>
      <x:c r="M130" s="11"/>
      <x:c r="N130" s="15"/>
      <x:c r="O130" s="14"/>
      <x:c r="P130" s="11"/>
    </x:row>
    <x:row r="131" ht="60" customHeight="1">
      <x:c r="A131" s="11"/>
      <x:c r="B131" s="11"/>
      <x:c r="C131" s="11"/>
      <x:c r="D131" s="11"/>
      <x:c r="E131" s="11"/>
      <x:c r="F131" s="11"/>
      <x:c r="G131" s="11"/>
      <x:c r="H131" s="11"/>
      <x:c r="I131" s="15"/>
      <x:c r="J131" s="11"/>
      <x:c r="K131" s="11"/>
      <x:c r="L131" s="11"/>
      <x:c r="M131" s="11"/>
      <x:c r="N131" s="15"/>
      <x:c r="O131" s="14"/>
      <x:c r="P131" s="11"/>
    </x:row>
    <x:row r="132" ht="60" customHeight="1">
      <x:c r="A132" s="11"/>
      <x:c r="B132" s="11"/>
      <x:c r="C132" s="11"/>
      <x:c r="D132" s="11"/>
      <x:c r="E132" s="11"/>
      <x:c r="F132" s="11"/>
      <x:c r="G132" s="11"/>
      <x:c r="H132" s="11"/>
      <x:c r="I132" s="15"/>
      <x:c r="J132" s="11"/>
      <x:c r="K132" s="11"/>
      <x:c r="L132" s="11"/>
      <x:c r="M132" s="11"/>
      <x:c r="N132" s="15"/>
      <x:c r="O132" s="14"/>
      <x:c r="P132" s="11"/>
    </x:row>
    <x:row r="133" ht="60" customHeight="1">
      <x:c r="A133" s="11"/>
      <x:c r="B133" s="11"/>
      <x:c r="C133" s="11"/>
      <x:c r="D133" s="11"/>
      <x:c r="E133" s="11"/>
      <x:c r="F133" s="11"/>
      <x:c r="G133" s="11"/>
      <x:c r="H133" s="11"/>
      <x:c r="I133" s="15"/>
      <x:c r="J133" s="11"/>
      <x:c r="K133" s="11"/>
      <x:c r="L133" s="11"/>
      <x:c r="M133" s="11"/>
      <x:c r="N133" s="15"/>
      <x:c r="O133" s="14"/>
      <x:c r="P133" s="11"/>
    </x:row>
    <x:row r="134" ht="60" customHeight="1">
      <x:c r="A134" s="11"/>
      <x:c r="B134" s="11"/>
      <x:c r="C134" s="11"/>
      <x:c r="D134" s="11"/>
      <x:c r="E134" s="11"/>
      <x:c r="F134" s="11"/>
      <x:c r="G134" s="11"/>
      <x:c r="H134" s="11"/>
      <x:c r="I134" s="15"/>
      <x:c r="J134" s="11"/>
      <x:c r="K134" s="11"/>
      <x:c r="L134" s="11"/>
      <x:c r="M134" s="11"/>
      <x:c r="N134" s="15"/>
      <x:c r="O134" s="14"/>
      <x:c r="P134" s="11"/>
    </x:row>
    <x:row r="135" ht="60" customHeight="1">
      <x:c r="A135" s="11"/>
      <x:c r="B135" s="11"/>
      <x:c r="C135" s="11"/>
      <x:c r="D135" s="11"/>
      <x:c r="E135" s="11"/>
      <x:c r="F135" s="11"/>
      <x:c r="G135" s="11"/>
      <x:c r="H135" s="11"/>
      <x:c r="I135" s="15"/>
      <x:c r="J135" s="11"/>
      <x:c r="K135" s="11"/>
      <x:c r="L135" s="11"/>
      <x:c r="M135" s="11"/>
      <x:c r="N135" s="15"/>
      <x:c r="O135" s="14"/>
      <x:c r="P135" s="11"/>
    </x:row>
    <x:row r="136" ht="60" customHeight="1">
      <x:c r="A136" s="11"/>
      <x:c r="B136" s="11"/>
      <x:c r="C136" s="11"/>
      <x:c r="D136" s="11"/>
      <x:c r="E136" s="11"/>
      <x:c r="F136" s="11"/>
      <x:c r="G136" s="11"/>
      <x:c r="H136" s="11"/>
      <x:c r="I136" s="15"/>
      <x:c r="J136" s="11"/>
      <x:c r="K136" s="11"/>
      <x:c r="L136" s="11"/>
      <x:c r="M136" s="11"/>
      <x:c r="N136" s="15"/>
      <x:c r="O136" s="14"/>
      <x:c r="P136" s="11"/>
    </x:row>
    <x:row r="137" ht="60" customHeight="1">
      <x:c r="A137" s="11"/>
      <x:c r="B137" s="11"/>
      <x:c r="C137" s="11"/>
      <x:c r="D137" s="11"/>
      <x:c r="E137" s="11"/>
      <x:c r="F137" s="11"/>
      <x:c r="G137" s="11"/>
      <x:c r="H137" s="11"/>
      <x:c r="I137" s="15"/>
      <x:c r="J137" s="11"/>
      <x:c r="K137" s="11"/>
      <x:c r="L137" s="11"/>
      <x:c r="M137" s="11"/>
      <x:c r="N137" s="15"/>
      <x:c r="O137" s="14"/>
      <x:c r="P137" s="11"/>
    </x:row>
    <x:row r="138" ht="60" customHeight="1">
      <x:c r="A138" s="11"/>
      <x:c r="B138" s="11"/>
      <x:c r="C138" s="11"/>
      <x:c r="D138" s="11"/>
      <x:c r="E138" s="11"/>
      <x:c r="F138" s="11"/>
      <x:c r="G138" s="11"/>
      <x:c r="H138" s="11"/>
      <x:c r="I138" s="15"/>
      <x:c r="J138" s="11"/>
      <x:c r="K138" s="11"/>
      <x:c r="L138" s="11"/>
      <x:c r="M138" s="11"/>
      <x:c r="N138" s="15"/>
      <x:c r="O138" s="14"/>
      <x:c r="P138" s="11"/>
    </x:row>
    <x:row r="139" ht="60" customHeight="1">
      <x:c r="A139" s="11"/>
      <x:c r="B139" s="11"/>
      <x:c r="C139" s="11"/>
      <x:c r="D139" s="11"/>
      <x:c r="E139" s="11"/>
      <x:c r="F139" s="11"/>
      <x:c r="G139" s="11"/>
      <x:c r="H139" s="11"/>
      <x:c r="I139" s="15"/>
      <x:c r="J139" s="11"/>
      <x:c r="K139" s="11"/>
      <x:c r="L139" s="11"/>
      <x:c r="M139" s="11"/>
      <x:c r="N139" s="15"/>
      <x:c r="O139" s="14"/>
      <x:c r="P139" s="11"/>
    </x:row>
    <x:row r="140" ht="60" customHeight="1">
      <x:c r="A140" s="11"/>
      <x:c r="B140" s="11"/>
      <x:c r="C140" s="11"/>
      <x:c r="D140" s="11"/>
      <x:c r="E140" s="11"/>
      <x:c r="F140" s="11"/>
      <x:c r="G140" s="11"/>
      <x:c r="H140" s="11"/>
      <x:c r="I140" s="15"/>
      <x:c r="J140" s="11"/>
      <x:c r="K140" s="11"/>
      <x:c r="L140" s="11"/>
      <x:c r="M140" s="11"/>
      <x:c r="N140" s="15"/>
      <x:c r="O140" s="14"/>
      <x:c r="P140" s="11"/>
    </x:row>
    <x:row r="141" ht="60" customHeight="1">
      <x:c r="A141" s="11"/>
      <x:c r="B141" s="11"/>
      <x:c r="C141" s="11"/>
      <x:c r="D141" s="11"/>
      <x:c r="E141" s="11"/>
      <x:c r="F141" s="11"/>
      <x:c r="G141" s="11"/>
      <x:c r="H141" s="11"/>
      <x:c r="I141" s="15"/>
      <x:c r="J141" s="11"/>
      <x:c r="K141" s="11"/>
      <x:c r="L141" s="11"/>
      <x:c r="M141" s="11"/>
      <x:c r="N141" s="15"/>
      <x:c r="O141" s="14"/>
      <x:c r="P141" s="11"/>
    </x:row>
    <x:row r="142" ht="60" customHeight="1">
      <x:c r="A142" s="11"/>
      <x:c r="B142" s="11"/>
      <x:c r="C142" s="11"/>
      <x:c r="D142" s="11"/>
      <x:c r="E142" s="11"/>
      <x:c r="F142" s="11"/>
      <x:c r="G142" s="11"/>
      <x:c r="H142" s="11"/>
      <x:c r="I142" s="15"/>
      <x:c r="J142" s="11"/>
      <x:c r="K142" s="11"/>
      <x:c r="L142" s="11"/>
      <x:c r="M142" s="11"/>
      <x:c r="N142" s="15"/>
      <x:c r="O142" s="14"/>
      <x:c r="P142" s="11"/>
    </x:row>
    <x:row r="143" ht="60" customHeight="1">
      <x:c r="A143" s="11"/>
      <x:c r="B143" s="11"/>
      <x:c r="C143" s="11"/>
      <x:c r="D143" s="11"/>
      <x:c r="E143" s="11"/>
      <x:c r="F143" s="11"/>
      <x:c r="G143" s="11"/>
      <x:c r="H143" s="11"/>
      <x:c r="I143" s="15"/>
      <x:c r="J143" s="11"/>
      <x:c r="K143" s="11"/>
      <x:c r="L143" s="11"/>
      <x:c r="M143" s="11"/>
      <x:c r="N143" s="15"/>
      <x:c r="O143" s="14"/>
      <x:c r="P143" s="11"/>
    </x:row>
    <x:row r="144" ht="60" customHeight="1">
      <x:c r="A144" s="11"/>
      <x:c r="B144" s="11"/>
      <x:c r="C144" s="11"/>
      <x:c r="D144" s="11"/>
      <x:c r="E144" s="11"/>
      <x:c r="F144" s="11"/>
      <x:c r="G144" s="11"/>
      <x:c r="H144" s="11"/>
      <x:c r="I144" s="15"/>
      <x:c r="J144" s="11"/>
      <x:c r="K144" s="11"/>
      <x:c r="L144" s="11"/>
      <x:c r="M144" s="11"/>
      <x:c r="N144" s="15"/>
      <x:c r="O144" s="14"/>
      <x:c r="P144" s="11"/>
    </x:row>
    <x:row r="145" ht="60" customHeight="1">
      <x:c r="A145" s="11"/>
      <x:c r="B145" s="11"/>
      <x:c r="C145" s="11"/>
      <x:c r="D145" s="11"/>
      <x:c r="E145" s="11"/>
      <x:c r="F145" s="11"/>
      <x:c r="G145" s="11"/>
      <x:c r="H145" s="11"/>
      <x:c r="I145" s="15"/>
      <x:c r="J145" s="11"/>
      <x:c r="K145" s="11"/>
      <x:c r="L145" s="11"/>
      <x:c r="M145" s="11"/>
      <x:c r="N145" s="15"/>
      <x:c r="O145" s="14"/>
      <x:c r="P145" s="11"/>
    </x:row>
    <x:row r="146" ht="60" customHeight="1">
      <x:c r="A146" s="11"/>
      <x:c r="B146" s="11"/>
      <x:c r="C146" s="11"/>
      <x:c r="D146" s="11"/>
      <x:c r="E146" s="11"/>
      <x:c r="F146" s="11"/>
      <x:c r="G146" s="11"/>
      <x:c r="H146" s="11"/>
      <x:c r="I146" s="15"/>
      <x:c r="J146" s="11"/>
      <x:c r="K146" s="11"/>
      <x:c r="L146" s="11"/>
      <x:c r="M146" s="11"/>
      <x:c r="N146" s="15"/>
      <x:c r="O146" s="14"/>
      <x:c r="P146" s="11"/>
    </x:row>
    <x:row r="147" ht="60" customHeight="1">
      <x:c r="A147" s="11"/>
      <x:c r="B147" s="11"/>
      <x:c r="C147" s="11"/>
      <x:c r="D147" s="11"/>
      <x:c r="E147" s="11"/>
      <x:c r="F147" s="11"/>
      <x:c r="G147" s="11"/>
      <x:c r="H147" s="11"/>
      <x:c r="I147" s="15"/>
      <x:c r="J147" s="11"/>
      <x:c r="K147" s="11"/>
      <x:c r="L147" s="11"/>
      <x:c r="M147" s="11"/>
      <x:c r="N147" s="15"/>
      <x:c r="O147" s="14"/>
      <x:c r="P147" s="11"/>
    </x:row>
    <x:row r="148" ht="60" customHeight="1">
      <x:c r="A148" s="11"/>
      <x:c r="B148" s="11"/>
      <x:c r="C148" s="11"/>
      <x:c r="D148" s="11"/>
      <x:c r="E148" s="11"/>
      <x:c r="F148" s="11"/>
      <x:c r="G148" s="11"/>
      <x:c r="H148" s="11"/>
      <x:c r="I148" s="15"/>
      <x:c r="J148" s="11"/>
      <x:c r="K148" s="11"/>
      <x:c r="L148" s="11"/>
      <x:c r="M148" s="11"/>
      <x:c r="N148" s="15"/>
      <x:c r="O148" s="14"/>
      <x:c r="P148" s="11"/>
    </x:row>
    <x:row r="149" ht="60" customHeight="1">
      <x:c r="A149" s="11"/>
      <x:c r="B149" s="11"/>
      <x:c r="C149" s="11"/>
      <x:c r="D149" s="11"/>
      <x:c r="E149" s="11"/>
      <x:c r="F149" s="11"/>
      <x:c r="G149" s="11"/>
      <x:c r="H149" s="11"/>
      <x:c r="I149" s="15"/>
      <x:c r="J149" s="11"/>
      <x:c r="K149" s="11"/>
      <x:c r="L149" s="11"/>
      <x:c r="M149" s="11"/>
      <x:c r="N149" s="15"/>
      <x:c r="O149" s="14"/>
      <x:c r="P149" s="11"/>
    </x:row>
    <x:row r="150" ht="60" customHeight="1">
      <x:c r="A150" s="11"/>
      <x:c r="B150" s="11"/>
      <x:c r="C150" s="11"/>
      <x:c r="D150" s="11"/>
      <x:c r="E150" s="11"/>
      <x:c r="F150" s="11"/>
      <x:c r="G150" s="11"/>
      <x:c r="H150" s="11"/>
      <x:c r="I150" s="15"/>
      <x:c r="J150" s="11"/>
      <x:c r="K150" s="11"/>
      <x:c r="L150" s="11"/>
      <x:c r="M150" s="11"/>
      <x:c r="N150" s="15"/>
      <x:c r="O150" s="14"/>
      <x:c r="P150" s="11"/>
    </x:row>
    <x:row r="151" ht="60" customHeight="1">
      <x:c r="A151" s="11"/>
      <x:c r="B151" s="11"/>
      <x:c r="C151" s="11"/>
      <x:c r="D151" s="11"/>
      <x:c r="E151" s="11"/>
      <x:c r="F151" s="11"/>
      <x:c r="G151" s="11"/>
      <x:c r="H151" s="11"/>
      <x:c r="I151" s="15"/>
      <x:c r="J151" s="11"/>
      <x:c r="K151" s="11"/>
      <x:c r="L151" s="11"/>
      <x:c r="M151" s="11"/>
      <x:c r="N151" s="15"/>
      <x:c r="O151" s="14"/>
      <x:c r="P151" s="11"/>
    </x:row>
    <x:row r="152" ht="60" customHeight="1">
      <x:c r="A152" s="11"/>
      <x:c r="B152" s="11"/>
      <x:c r="C152" s="11"/>
      <x:c r="D152" s="11"/>
      <x:c r="E152" s="11"/>
      <x:c r="F152" s="11"/>
      <x:c r="G152" s="11"/>
      <x:c r="H152" s="11"/>
      <x:c r="I152" s="15"/>
      <x:c r="J152" s="11"/>
      <x:c r="K152" s="11"/>
      <x:c r="L152" s="11"/>
      <x:c r="M152" s="11"/>
      <x:c r="N152" s="15"/>
      <x:c r="O152" s="14"/>
      <x:c r="P152" s="11"/>
    </x:row>
    <x:row r="153" ht="60" customHeight="1">
      <x:c r="A153" s="11"/>
      <x:c r="B153" s="11"/>
      <x:c r="C153" s="11"/>
      <x:c r="D153" s="11"/>
      <x:c r="E153" s="11"/>
      <x:c r="F153" s="11"/>
      <x:c r="G153" s="11"/>
      <x:c r="H153" s="11"/>
      <x:c r="I153" s="15"/>
      <x:c r="J153" s="11"/>
      <x:c r="K153" s="11"/>
      <x:c r="L153" s="11"/>
      <x:c r="M153" s="11"/>
      <x:c r="N153" s="15"/>
      <x:c r="O153" s="14"/>
      <x:c r="P153" s="11"/>
    </x:row>
    <x:row r="154" ht="60" customHeight="1">
      <x:c r="A154" s="11"/>
      <x:c r="B154" s="11"/>
      <x:c r="C154" s="11"/>
      <x:c r="D154" s="11"/>
      <x:c r="E154" s="11"/>
      <x:c r="F154" s="11"/>
      <x:c r="G154" s="11"/>
      <x:c r="H154" s="11"/>
      <x:c r="I154" s="15"/>
      <x:c r="J154" s="11"/>
      <x:c r="K154" s="11"/>
      <x:c r="L154" s="11"/>
      <x:c r="M154" s="11"/>
      <x:c r="N154" s="15"/>
      <x:c r="O154" s="14"/>
      <x:c r="P154" s="11"/>
    </x:row>
    <x:row r="155" ht="60" customHeight="1">
      <x:c r="A155" s="11"/>
      <x:c r="B155" s="11"/>
      <x:c r="C155" s="11"/>
      <x:c r="D155" s="11"/>
      <x:c r="E155" s="11"/>
      <x:c r="F155" s="11"/>
      <x:c r="G155" s="11"/>
      <x:c r="H155" s="11"/>
      <x:c r="I155" s="15"/>
      <x:c r="J155" s="11"/>
      <x:c r="K155" s="11"/>
      <x:c r="L155" s="11"/>
      <x:c r="M155" s="11"/>
      <x:c r="N155" s="15"/>
      <x:c r="O155" s="14"/>
      <x:c r="P155" s="11"/>
    </x:row>
    <x:row r="156" ht="60" customHeight="1">
      <x:c r="A156" s="11"/>
      <x:c r="B156" s="11"/>
      <x:c r="C156" s="11"/>
      <x:c r="D156" s="11"/>
      <x:c r="E156" s="11"/>
      <x:c r="F156" s="11"/>
      <x:c r="G156" s="11"/>
      <x:c r="H156" s="11"/>
      <x:c r="I156" s="15"/>
      <x:c r="J156" s="11"/>
      <x:c r="K156" s="11"/>
      <x:c r="L156" s="11"/>
      <x:c r="M156" s="11"/>
      <x:c r="N156" s="15"/>
      <x:c r="O156" s="14"/>
      <x:c r="P156" s="11"/>
    </x:row>
    <x:row r="157" ht="60" customHeight="1">
      <x:c r="A157" s="11"/>
      <x:c r="B157" s="11"/>
      <x:c r="C157" s="11"/>
      <x:c r="D157" s="11"/>
      <x:c r="E157" s="11"/>
      <x:c r="F157" s="11"/>
      <x:c r="G157" s="11"/>
      <x:c r="H157" s="11"/>
      <x:c r="I157" s="15"/>
      <x:c r="J157" s="11"/>
      <x:c r="K157" s="11"/>
      <x:c r="L157" s="11"/>
      <x:c r="M157" s="11"/>
      <x:c r="N157" s="15"/>
      <x:c r="O157" s="14"/>
      <x:c r="P157" s="11"/>
    </x:row>
    <x:row r="158" ht="60" customHeight="1">
      <x:c r="A158" s="11"/>
      <x:c r="B158" s="11"/>
      <x:c r="C158" s="11"/>
      <x:c r="D158" s="11"/>
      <x:c r="E158" s="11"/>
      <x:c r="F158" s="11"/>
      <x:c r="G158" s="11"/>
      <x:c r="H158" s="11"/>
      <x:c r="I158" s="15"/>
      <x:c r="J158" s="11"/>
      <x:c r="K158" s="11"/>
      <x:c r="L158" s="11"/>
      <x:c r="M158" s="11"/>
      <x:c r="N158" s="15"/>
      <x:c r="O158" s="14"/>
      <x:c r="P158" s="11"/>
    </x:row>
    <x:row r="159" ht="60" customHeight="1">
      <x:c r="A159" s="11"/>
      <x:c r="B159" s="11"/>
      <x:c r="C159" s="11"/>
      <x:c r="D159" s="11"/>
      <x:c r="E159" s="11"/>
      <x:c r="F159" s="11"/>
      <x:c r="G159" s="11"/>
      <x:c r="H159" s="11"/>
      <x:c r="I159" s="15"/>
      <x:c r="J159" s="11"/>
      <x:c r="K159" s="11"/>
      <x:c r="L159" s="11"/>
      <x:c r="M159" s="11"/>
      <x:c r="N159" s="15"/>
      <x:c r="O159" s="14"/>
      <x:c r="P159" s="11"/>
    </x:row>
    <x:row r="160" ht="60" customHeight="1">
      <x:c r="A160" s="11"/>
      <x:c r="B160" s="11"/>
      <x:c r="C160" s="11"/>
      <x:c r="D160" s="11"/>
      <x:c r="E160" s="11"/>
      <x:c r="F160" s="11"/>
      <x:c r="G160" s="11"/>
      <x:c r="H160" s="11"/>
      <x:c r="I160" s="15"/>
      <x:c r="J160" s="11"/>
      <x:c r="K160" s="11"/>
      <x:c r="L160" s="11"/>
      <x:c r="M160" s="11"/>
      <x:c r="N160" s="15"/>
      <x:c r="O160" s="14"/>
      <x:c r="P160" s="11"/>
    </x:row>
    <x:row r="161" ht="60" customHeight="1">
      <x:c r="A161" s="11"/>
      <x:c r="B161" s="11"/>
      <x:c r="C161" s="11"/>
      <x:c r="D161" s="11"/>
      <x:c r="E161" s="11"/>
      <x:c r="F161" s="11"/>
      <x:c r="G161" s="11"/>
      <x:c r="H161" s="11"/>
      <x:c r="I161" s="15"/>
      <x:c r="J161" s="11"/>
      <x:c r="K161" s="11"/>
      <x:c r="L161" s="11"/>
      <x:c r="M161" s="11"/>
      <x:c r="N161" s="15"/>
      <x:c r="O161" s="14"/>
      <x:c r="P161" s="11"/>
    </x:row>
    <x:row r="162" ht="60" customHeight="1">
      <x:c r="A162" s="11"/>
      <x:c r="B162" s="11"/>
      <x:c r="C162" s="11"/>
      <x:c r="D162" s="11"/>
      <x:c r="E162" s="11"/>
      <x:c r="F162" s="11"/>
      <x:c r="G162" s="11"/>
      <x:c r="H162" s="11"/>
      <x:c r="I162" s="15"/>
      <x:c r="J162" s="11"/>
      <x:c r="K162" s="11"/>
      <x:c r="L162" s="11"/>
      <x:c r="M162" s="11"/>
      <x:c r="N162" s="15"/>
      <x:c r="O162" s="14"/>
      <x:c r="P162" s="11"/>
    </x:row>
    <x:row r="163" ht="60" customHeight="1">
      <x:c r="A163" s="11"/>
      <x:c r="B163" s="11"/>
      <x:c r="C163" s="11"/>
      <x:c r="D163" s="11"/>
      <x:c r="E163" s="11"/>
      <x:c r="F163" s="11"/>
      <x:c r="G163" s="11"/>
      <x:c r="H163" s="11"/>
      <x:c r="I163" s="15"/>
      <x:c r="J163" s="11"/>
      <x:c r="K163" s="11"/>
      <x:c r="L163" s="11"/>
      <x:c r="M163" s="11"/>
      <x:c r="N163" s="15"/>
      <x:c r="O163" s="14"/>
      <x:c r="P163" s="11"/>
    </x:row>
    <x:row r="164" ht="60" customHeight="1">
      <x:c r="A164" s="11"/>
      <x:c r="B164" s="11"/>
      <x:c r="C164" s="11"/>
      <x:c r="D164" s="11"/>
      <x:c r="E164" s="11"/>
      <x:c r="F164" s="11"/>
      <x:c r="G164" s="11"/>
      <x:c r="H164" s="11"/>
      <x:c r="I164" s="15"/>
      <x:c r="J164" s="11"/>
      <x:c r="K164" s="11"/>
      <x:c r="L164" s="11"/>
      <x:c r="M164" s="11"/>
      <x:c r="N164" s="15"/>
      <x:c r="O164" s="14"/>
      <x:c r="P164" s="11"/>
    </x:row>
    <x:row r="165" ht="60" customHeight="1">
      <x:c r="A165" s="11"/>
      <x:c r="B165" s="11"/>
      <x:c r="C165" s="11"/>
      <x:c r="D165" s="11"/>
      <x:c r="E165" s="11"/>
      <x:c r="F165" s="11"/>
      <x:c r="G165" s="11"/>
      <x:c r="H165" s="11"/>
      <x:c r="I165" s="15"/>
      <x:c r="J165" s="11"/>
      <x:c r="K165" s="11"/>
      <x:c r="L165" s="11"/>
      <x:c r="M165" s="11"/>
      <x:c r="N165" s="15"/>
      <x:c r="O165" s="14"/>
      <x:c r="P165" s="11"/>
    </x:row>
    <x:row r="166" ht="60" customHeight="1">
      <x:c r="A166" s="11"/>
      <x:c r="B166" s="11"/>
      <x:c r="C166" s="11"/>
      <x:c r="D166" s="11"/>
      <x:c r="E166" s="11"/>
      <x:c r="F166" s="11"/>
      <x:c r="G166" s="11"/>
      <x:c r="H166" s="11"/>
      <x:c r="I166" s="15"/>
      <x:c r="J166" s="11"/>
      <x:c r="K166" s="11"/>
      <x:c r="L166" s="11"/>
      <x:c r="M166" s="11"/>
      <x:c r="N166" s="15"/>
      <x:c r="O166" s="14"/>
      <x:c r="P166" s="11"/>
    </x:row>
    <x:row r="167" ht="60" customHeight="1">
      <x:c r="A167" s="11"/>
      <x:c r="B167" s="11"/>
      <x:c r="C167" s="11"/>
      <x:c r="D167" s="11"/>
      <x:c r="E167" s="11"/>
      <x:c r="F167" s="11"/>
      <x:c r="G167" s="11"/>
      <x:c r="H167" s="11"/>
      <x:c r="I167" s="15"/>
      <x:c r="J167" s="11"/>
      <x:c r="K167" s="11"/>
      <x:c r="L167" s="11"/>
      <x:c r="M167" s="11"/>
      <x:c r="N167" s="15"/>
      <x:c r="O167" s="14"/>
      <x:c r="P167" s="11"/>
    </x:row>
    <x:row r="168" ht="60" customHeight="1">
      <x:c r="A168" s="11"/>
      <x:c r="B168" s="11"/>
      <x:c r="C168" s="11"/>
      <x:c r="D168" s="11"/>
      <x:c r="E168" s="11"/>
      <x:c r="F168" s="11"/>
      <x:c r="G168" s="11"/>
      <x:c r="H168" s="11"/>
      <x:c r="I168" s="15"/>
      <x:c r="J168" s="11"/>
      <x:c r="K168" s="11"/>
      <x:c r="L168" s="11"/>
      <x:c r="M168" s="11"/>
      <x:c r="N168" s="15"/>
      <x:c r="O168" s="14"/>
      <x:c r="P168" s="11"/>
    </x:row>
    <x:row r="169" ht="60" customHeight="1">
      <x:c r="A169" s="11"/>
      <x:c r="B169" s="11"/>
      <x:c r="C169" s="11"/>
      <x:c r="D169" s="11"/>
      <x:c r="E169" s="11"/>
      <x:c r="F169" s="11"/>
      <x:c r="G169" s="11"/>
      <x:c r="H169" s="11"/>
      <x:c r="I169" s="15"/>
      <x:c r="J169" s="11"/>
      <x:c r="K169" s="11"/>
      <x:c r="L169" s="11"/>
      <x:c r="M169" s="11"/>
      <x:c r="N169" s="15"/>
      <x:c r="O169" s="14"/>
      <x:c r="P169" s="11"/>
    </x:row>
    <x:row r="170" ht="60" customHeight="1">
      <x:c r="A170" s="11"/>
      <x:c r="B170" s="11"/>
      <x:c r="C170" s="11"/>
      <x:c r="D170" s="11"/>
      <x:c r="E170" s="11"/>
      <x:c r="F170" s="11"/>
      <x:c r="G170" s="11"/>
      <x:c r="H170" s="11"/>
      <x:c r="I170" s="15"/>
      <x:c r="J170" s="11"/>
      <x:c r="K170" s="11"/>
      <x:c r="L170" s="11"/>
      <x:c r="M170" s="11"/>
      <x:c r="N170" s="15"/>
      <x:c r="O170" s="14"/>
      <x:c r="P170" s="11"/>
    </x:row>
    <x:row r="171" ht="60" customHeight="1">
      <x:c r="A171" s="11"/>
      <x:c r="B171" s="11"/>
      <x:c r="C171" s="11"/>
      <x:c r="D171" s="11"/>
      <x:c r="E171" s="11"/>
      <x:c r="F171" s="11"/>
      <x:c r="G171" s="11"/>
      <x:c r="H171" s="11"/>
      <x:c r="I171" s="15"/>
      <x:c r="J171" s="11"/>
      <x:c r="K171" s="11"/>
      <x:c r="L171" s="11"/>
      <x:c r="M171" s="11"/>
      <x:c r="N171" s="15"/>
      <x:c r="O171" s="14"/>
      <x:c r="P171" s="11"/>
    </x:row>
    <x:row r="172" ht="60" customHeight="1">
      <x:c r="A172" s="11"/>
      <x:c r="B172" s="11"/>
      <x:c r="C172" s="11"/>
      <x:c r="D172" s="11"/>
      <x:c r="E172" s="11"/>
      <x:c r="F172" s="11"/>
      <x:c r="G172" s="11"/>
      <x:c r="H172" s="11"/>
      <x:c r="I172" s="15"/>
      <x:c r="J172" s="11"/>
      <x:c r="K172" s="11"/>
      <x:c r="L172" s="11"/>
      <x:c r="M172" s="11"/>
      <x:c r="N172" s="15"/>
      <x:c r="O172" s="14"/>
      <x:c r="P172" s="11"/>
    </x:row>
    <x:row r="173" ht="60" customHeight="1">
      <x:c r="A173" s="11"/>
      <x:c r="B173" s="11"/>
      <x:c r="C173" s="11"/>
      <x:c r="D173" s="11"/>
      <x:c r="E173" s="11"/>
      <x:c r="F173" s="11"/>
      <x:c r="G173" s="11"/>
      <x:c r="H173" s="11"/>
      <x:c r="I173" s="15"/>
      <x:c r="J173" s="11"/>
      <x:c r="K173" s="11"/>
      <x:c r="L173" s="11"/>
      <x:c r="M173" s="11"/>
      <x:c r="N173" s="15"/>
      <x:c r="O173" s="14"/>
      <x:c r="P173" s="11"/>
    </x:row>
    <x:row r="174" ht="60" customHeight="1">
      <x:c r="A174" s="11"/>
      <x:c r="B174" s="11"/>
      <x:c r="C174" s="11"/>
      <x:c r="D174" s="11"/>
      <x:c r="E174" s="11"/>
      <x:c r="F174" s="11"/>
      <x:c r="G174" s="11"/>
      <x:c r="H174" s="11"/>
      <x:c r="I174" s="15"/>
      <x:c r="J174" s="11"/>
      <x:c r="K174" s="11"/>
      <x:c r="L174" s="11"/>
      <x:c r="M174" s="11"/>
      <x:c r="N174" s="15"/>
      <x:c r="O174" s="14"/>
      <x:c r="P174" s="11"/>
    </x:row>
    <x:row r="175" ht="60" customHeight="1">
      <x:c r="A175" s="11"/>
      <x:c r="B175" s="11"/>
      <x:c r="C175" s="11"/>
      <x:c r="D175" s="11"/>
      <x:c r="E175" s="11"/>
      <x:c r="F175" s="11"/>
      <x:c r="G175" s="11"/>
      <x:c r="H175" s="11"/>
      <x:c r="I175" s="15"/>
      <x:c r="J175" s="11"/>
      <x:c r="K175" s="11"/>
      <x:c r="L175" s="11"/>
      <x:c r="M175" s="11"/>
      <x:c r="N175" s="15"/>
      <x:c r="O175" s="14"/>
      <x:c r="P175" s="11"/>
    </x:row>
    <x:row r="176" ht="60" customHeight="1">
      <x:c r="A176" s="11"/>
      <x:c r="B176" s="11"/>
      <x:c r="C176" s="11"/>
      <x:c r="D176" s="11"/>
      <x:c r="E176" s="11"/>
      <x:c r="F176" s="11"/>
      <x:c r="G176" s="11"/>
      <x:c r="H176" s="11"/>
      <x:c r="I176" s="15"/>
      <x:c r="J176" s="11"/>
      <x:c r="K176" s="11"/>
      <x:c r="L176" s="11"/>
      <x:c r="M176" s="11"/>
      <x:c r="N176" s="15"/>
      <x:c r="O176" s="14"/>
      <x:c r="P176" s="11"/>
    </x:row>
    <x:row r="177" ht="60" customHeight="1">
      <x:c r="A177" s="11"/>
      <x:c r="B177" s="11"/>
      <x:c r="C177" s="11"/>
      <x:c r="D177" s="11"/>
      <x:c r="E177" s="11"/>
      <x:c r="F177" s="11"/>
      <x:c r="G177" s="11"/>
      <x:c r="H177" s="11"/>
      <x:c r="I177" s="15"/>
      <x:c r="J177" s="11"/>
      <x:c r="K177" s="11"/>
      <x:c r="L177" s="11"/>
      <x:c r="M177" s="11"/>
      <x:c r="N177" s="15"/>
      <x:c r="O177" s="14"/>
      <x:c r="P177" s="11"/>
    </x:row>
    <x:row r="178" ht="60" customHeight="1">
      <x:c r="A178" s="11"/>
      <x:c r="B178" s="11"/>
      <x:c r="C178" s="11"/>
      <x:c r="D178" s="11"/>
      <x:c r="E178" s="11"/>
      <x:c r="F178" s="11"/>
      <x:c r="G178" s="11"/>
      <x:c r="H178" s="11"/>
      <x:c r="I178" s="15"/>
      <x:c r="J178" s="11"/>
      <x:c r="K178" s="11"/>
      <x:c r="L178" s="11"/>
      <x:c r="M178" s="11"/>
      <x:c r="N178" s="15"/>
      <x:c r="O178" s="14"/>
      <x:c r="P178" s="11"/>
    </x:row>
    <x:row r="179" ht="60" customHeight="1">
      <x:c r="A179" s="11"/>
      <x:c r="B179" s="11"/>
      <x:c r="C179" s="11"/>
      <x:c r="D179" s="11"/>
      <x:c r="E179" s="11"/>
      <x:c r="F179" s="11"/>
      <x:c r="G179" s="11"/>
      <x:c r="H179" s="11"/>
      <x:c r="I179" s="15"/>
      <x:c r="J179" s="11"/>
      <x:c r="K179" s="11"/>
      <x:c r="L179" s="11"/>
      <x:c r="M179" s="11"/>
      <x:c r="N179" s="15"/>
      <x:c r="O179" s="14"/>
      <x:c r="P179" s="11"/>
    </x:row>
    <x:row r="180" ht="60" customHeight="1">
      <x:c r="A180" s="11"/>
      <x:c r="B180" s="11"/>
      <x:c r="C180" s="11"/>
      <x:c r="D180" s="11"/>
      <x:c r="E180" s="11"/>
      <x:c r="F180" s="11"/>
      <x:c r="G180" s="11"/>
      <x:c r="H180" s="11"/>
      <x:c r="I180" s="15"/>
      <x:c r="J180" s="11"/>
      <x:c r="K180" s="11"/>
      <x:c r="L180" s="11"/>
      <x:c r="M180" s="11"/>
      <x:c r="N180" s="15"/>
      <x:c r="O180" s="14"/>
      <x:c r="P180" s="11"/>
    </x:row>
    <x:row r="181" ht="60" customHeight="1">
      <x:c r="A181" s="11"/>
      <x:c r="B181" s="11"/>
      <x:c r="C181" s="11"/>
      <x:c r="D181" s="11"/>
      <x:c r="E181" s="11"/>
      <x:c r="F181" s="11"/>
      <x:c r="G181" s="11"/>
      <x:c r="H181" s="11"/>
      <x:c r="I181" s="15"/>
      <x:c r="J181" s="11"/>
      <x:c r="K181" s="11"/>
      <x:c r="L181" s="11"/>
      <x:c r="M181" s="11"/>
      <x:c r="N181" s="15"/>
      <x:c r="O181" s="14"/>
      <x:c r="P181" s="11"/>
    </x:row>
    <x:row r="182" ht="60" customHeight="1">
      <x:c r="A182" s="11"/>
      <x:c r="B182" s="11"/>
      <x:c r="C182" s="11"/>
      <x:c r="D182" s="11"/>
      <x:c r="E182" s="11"/>
      <x:c r="F182" s="11"/>
      <x:c r="G182" s="11"/>
      <x:c r="H182" s="11"/>
      <x:c r="I182" s="15"/>
      <x:c r="J182" s="11"/>
      <x:c r="K182" s="11"/>
      <x:c r="L182" s="11"/>
      <x:c r="M182" s="11"/>
      <x:c r="N182" s="15"/>
      <x:c r="O182" s="14"/>
      <x:c r="P182" s="11"/>
    </x:row>
    <x:row r="183" ht="60" customHeight="1">
      <x:c r="A183" s="11"/>
      <x:c r="B183" s="11"/>
      <x:c r="C183" s="11"/>
      <x:c r="D183" s="11"/>
      <x:c r="E183" s="11"/>
      <x:c r="F183" s="11"/>
      <x:c r="G183" s="11"/>
      <x:c r="H183" s="11"/>
      <x:c r="I183" s="15"/>
      <x:c r="J183" s="11"/>
      <x:c r="K183" s="11"/>
      <x:c r="L183" s="11"/>
      <x:c r="M183" s="11"/>
      <x:c r="N183" s="15"/>
      <x:c r="O183" s="14"/>
      <x:c r="P183" s="11"/>
    </x:row>
    <x:row r="184" ht="60" customHeight="1">
      <x:c r="A184" s="11"/>
      <x:c r="B184" s="11"/>
      <x:c r="C184" s="11"/>
      <x:c r="D184" s="11"/>
      <x:c r="E184" s="11"/>
      <x:c r="F184" s="11"/>
      <x:c r="G184" s="11"/>
      <x:c r="H184" s="11"/>
      <x:c r="I184" s="15"/>
      <x:c r="J184" s="11"/>
      <x:c r="K184" s="11"/>
      <x:c r="L184" s="11"/>
      <x:c r="M184" s="11"/>
      <x:c r="N184" s="15"/>
      <x:c r="O184" s="14"/>
      <x:c r="P184" s="11"/>
    </x:row>
    <x:row r="185" ht="60" customHeight="1">
      <x:c r="A185" s="11"/>
      <x:c r="B185" s="11"/>
      <x:c r="C185" s="11"/>
      <x:c r="D185" s="11"/>
      <x:c r="E185" s="11"/>
      <x:c r="F185" s="11"/>
      <x:c r="G185" s="11"/>
      <x:c r="H185" s="11"/>
      <x:c r="I185" s="15"/>
      <x:c r="J185" s="11"/>
      <x:c r="K185" s="11"/>
      <x:c r="L185" s="11"/>
      <x:c r="M185" s="11"/>
      <x:c r="N185" s="15"/>
      <x:c r="O185" s="14"/>
      <x:c r="P185" s="11"/>
    </x:row>
    <x:row r="186" ht="60" customHeight="1">
      <x:c r="A186" s="11"/>
      <x:c r="B186" s="11"/>
      <x:c r="C186" s="11"/>
      <x:c r="D186" s="11"/>
      <x:c r="E186" s="11"/>
      <x:c r="F186" s="11"/>
      <x:c r="G186" s="11"/>
      <x:c r="H186" s="11"/>
      <x:c r="I186" s="15"/>
      <x:c r="J186" s="11"/>
      <x:c r="K186" s="11"/>
      <x:c r="L186" s="11"/>
      <x:c r="M186" s="11"/>
      <x:c r="N186" s="15"/>
      <x:c r="O186" s="14"/>
      <x:c r="P186" s="11"/>
    </x:row>
    <x:row r="187" ht="60" customHeight="1">
      <x:c r="A187" s="11"/>
      <x:c r="B187" s="11"/>
      <x:c r="C187" s="11"/>
      <x:c r="D187" s="11"/>
      <x:c r="E187" s="11"/>
      <x:c r="F187" s="11"/>
      <x:c r="G187" s="11"/>
      <x:c r="H187" s="11"/>
      <x:c r="I187" s="15"/>
      <x:c r="J187" s="11"/>
      <x:c r="K187" s="11"/>
      <x:c r="L187" s="11"/>
      <x:c r="M187" s="11"/>
      <x:c r="N187" s="15"/>
      <x:c r="O187" s="14"/>
      <x:c r="P187" s="11"/>
    </x:row>
    <x:row r="188" ht="60" customHeight="1">
      <x:c r="A188" s="11"/>
      <x:c r="B188" s="11"/>
      <x:c r="C188" s="11"/>
      <x:c r="D188" s="11"/>
      <x:c r="E188" s="11"/>
      <x:c r="F188" s="11"/>
      <x:c r="G188" s="11"/>
      <x:c r="H188" s="11"/>
      <x:c r="I188" s="15"/>
      <x:c r="J188" s="11"/>
      <x:c r="K188" s="11"/>
      <x:c r="L188" s="11"/>
      <x:c r="M188" s="11"/>
      <x:c r="N188" s="15"/>
      <x:c r="O188" s="14"/>
      <x:c r="P188" s="11"/>
    </x:row>
    <x:row r="189" ht="60" customHeight="1">
      <x:c r="A189" s="11"/>
      <x:c r="B189" s="11"/>
      <x:c r="C189" s="11"/>
      <x:c r="D189" s="11"/>
      <x:c r="E189" s="11"/>
      <x:c r="F189" s="11"/>
      <x:c r="G189" s="11"/>
      <x:c r="H189" s="11"/>
      <x:c r="I189" s="15"/>
      <x:c r="J189" s="11"/>
      <x:c r="K189" s="11"/>
      <x:c r="L189" s="11"/>
      <x:c r="M189" s="11"/>
      <x:c r="N189" s="15"/>
      <x:c r="O189" s="14"/>
      <x:c r="P189" s="11"/>
    </x:row>
    <x:row r="190" ht="60" customHeight="1">
      <x:c r="A190" s="11"/>
      <x:c r="B190" s="11"/>
      <x:c r="C190" s="11"/>
      <x:c r="D190" s="11"/>
      <x:c r="E190" s="11"/>
      <x:c r="F190" s="11"/>
      <x:c r="G190" s="11"/>
      <x:c r="H190" s="11"/>
      <x:c r="I190" s="15"/>
      <x:c r="J190" s="11"/>
      <x:c r="K190" s="11"/>
      <x:c r="L190" s="11"/>
      <x:c r="M190" s="11"/>
      <x:c r="N190" s="15"/>
      <x:c r="O190" s="14"/>
      <x:c r="P190" s="11"/>
    </x:row>
    <x:row r="191" ht="60" customHeight="1">
      <x:c r="A191" s="11"/>
      <x:c r="B191" s="11"/>
      <x:c r="C191" s="11"/>
      <x:c r="D191" s="11"/>
      <x:c r="E191" s="11"/>
      <x:c r="F191" s="11"/>
      <x:c r="G191" s="11"/>
      <x:c r="H191" s="11"/>
      <x:c r="I191" s="15"/>
      <x:c r="J191" s="11"/>
      <x:c r="K191" s="11"/>
      <x:c r="L191" s="11"/>
      <x:c r="M191" s="11"/>
      <x:c r="N191" s="15"/>
      <x:c r="O191" s="14"/>
      <x:c r="P191" s="11"/>
    </x:row>
    <x:row r="192" ht="60" customHeight="1">
      <x:c r="A192" s="11"/>
      <x:c r="B192" s="11"/>
      <x:c r="C192" s="11"/>
      <x:c r="D192" s="11"/>
      <x:c r="E192" s="11"/>
      <x:c r="F192" s="11"/>
      <x:c r="G192" s="11"/>
      <x:c r="H192" s="11"/>
      <x:c r="I192" s="15"/>
      <x:c r="J192" s="11"/>
      <x:c r="K192" s="11"/>
      <x:c r="L192" s="11"/>
      <x:c r="M192" s="11"/>
      <x:c r="N192" s="15"/>
      <x:c r="O192" s="14"/>
      <x:c r="P192" s="11"/>
    </x:row>
    <x:row r="193" ht="60" customHeight="1">
      <x:c r="A193" s="11"/>
      <x:c r="B193" s="11"/>
      <x:c r="C193" s="11"/>
      <x:c r="D193" s="11"/>
      <x:c r="E193" s="11"/>
      <x:c r="F193" s="11"/>
      <x:c r="G193" s="11"/>
      <x:c r="H193" s="11"/>
      <x:c r="I193" s="15"/>
      <x:c r="J193" s="11"/>
      <x:c r="K193" s="11"/>
      <x:c r="L193" s="11"/>
      <x:c r="M193" s="11"/>
      <x:c r="N193" s="15"/>
      <x:c r="O193" s="14"/>
      <x:c r="P193" s="11"/>
    </x:row>
    <x:row r="194" ht="60" customHeight="1">
      <x:c r="A194" s="11"/>
      <x:c r="B194" s="11"/>
      <x:c r="C194" s="11"/>
      <x:c r="D194" s="11"/>
      <x:c r="E194" s="11"/>
      <x:c r="F194" s="11"/>
      <x:c r="G194" s="11"/>
      <x:c r="H194" s="11"/>
      <x:c r="I194" s="15"/>
      <x:c r="J194" s="11"/>
      <x:c r="K194" s="11"/>
      <x:c r="L194" s="11"/>
      <x:c r="M194" s="11"/>
      <x:c r="N194" s="15"/>
      <x:c r="O194" s="14"/>
      <x:c r="P194" s="11"/>
    </x:row>
    <x:row r="195" ht="60" customHeight="1">
      <x:c r="A195" s="11"/>
      <x:c r="B195" s="11"/>
      <x:c r="C195" s="11"/>
      <x:c r="D195" s="11"/>
      <x:c r="E195" s="11"/>
      <x:c r="F195" s="11"/>
      <x:c r="G195" s="11"/>
      <x:c r="H195" s="11"/>
      <x:c r="I195" s="15"/>
      <x:c r="J195" s="11"/>
      <x:c r="K195" s="11"/>
      <x:c r="L195" s="11"/>
      <x:c r="M195" s="11"/>
      <x:c r="N195" s="15"/>
      <x:c r="O195" s="14"/>
      <x:c r="P195" s="11"/>
    </x:row>
    <x:row r="196" ht="60" customHeight="1">
      <x:c r="A196" s="11"/>
      <x:c r="B196" s="11"/>
      <x:c r="C196" s="11"/>
      <x:c r="D196" s="11"/>
      <x:c r="E196" s="11"/>
      <x:c r="F196" s="11"/>
      <x:c r="G196" s="11"/>
      <x:c r="H196" s="11"/>
      <x:c r="I196" s="15"/>
      <x:c r="J196" s="11"/>
      <x:c r="K196" s="11"/>
      <x:c r="L196" s="11"/>
      <x:c r="M196" s="11"/>
      <x:c r="N196" s="15"/>
      <x:c r="O196" s="14"/>
      <x:c r="P196" s="11"/>
    </x:row>
    <x:row r="197" ht="60" customHeight="1">
      <x:c r="A197" s="11"/>
      <x:c r="B197" s="11"/>
      <x:c r="C197" s="11"/>
      <x:c r="D197" s="11"/>
      <x:c r="E197" s="11"/>
      <x:c r="F197" s="11"/>
      <x:c r="G197" s="11"/>
      <x:c r="H197" s="11"/>
      <x:c r="I197" s="15"/>
      <x:c r="J197" s="11"/>
      <x:c r="K197" s="11"/>
      <x:c r="L197" s="11"/>
      <x:c r="M197" s="11"/>
      <x:c r="N197" s="15"/>
      <x:c r="O197" s="14"/>
      <x:c r="P197" s="11"/>
    </x:row>
    <x:row r="198" ht="60" customHeight="1">
      <x:c r="A198" s="11"/>
      <x:c r="B198" s="11"/>
      <x:c r="C198" s="11"/>
      <x:c r="D198" s="11"/>
      <x:c r="E198" s="11"/>
      <x:c r="F198" s="11"/>
      <x:c r="G198" s="11"/>
      <x:c r="H198" s="11"/>
      <x:c r="I198" s="15"/>
      <x:c r="J198" s="11"/>
      <x:c r="K198" s="11"/>
      <x:c r="L198" s="11"/>
      <x:c r="M198" s="11"/>
      <x:c r="N198" s="15"/>
      <x:c r="O198" s="14"/>
      <x:c r="P198" s="11"/>
    </x:row>
    <x:row r="199" ht="60" customHeight="1">
      <x:c r="A199" s="11"/>
      <x:c r="B199" s="11"/>
      <x:c r="C199" s="11"/>
      <x:c r="D199" s="11"/>
      <x:c r="E199" s="11"/>
      <x:c r="F199" s="11"/>
      <x:c r="G199" s="11"/>
      <x:c r="H199" s="11"/>
      <x:c r="I199" s="15"/>
      <x:c r="J199" s="11"/>
      <x:c r="K199" s="11"/>
      <x:c r="L199" s="11"/>
      <x:c r="M199" s="11"/>
      <x:c r="N199" s="15"/>
      <x:c r="O199" s="14"/>
      <x:c r="P199" s="11"/>
    </x:row>
    <x:row r="200" ht="60" customHeight="1">
      <x:c r="A200" s="11"/>
      <x:c r="B200" s="11"/>
      <x:c r="C200" s="11"/>
      <x:c r="D200" s="11"/>
      <x:c r="E200" s="11"/>
      <x:c r="F200" s="11"/>
      <x:c r="G200" s="11"/>
      <x:c r="H200" s="11"/>
      <x:c r="I200" s="15"/>
      <x:c r="J200" s="11"/>
      <x:c r="K200" s="11"/>
      <x:c r="L200" s="11"/>
      <x:c r="M200" s="11"/>
      <x:c r="N200" s="15"/>
      <x:c r="O200" s="14"/>
      <x:c r="P200" s="11"/>
    </x:row>
    <x:row r="201" ht="60" customHeight="1">
      <x:c r="A201" s="11"/>
      <x:c r="B201" s="11"/>
      <x:c r="C201" s="11"/>
      <x:c r="D201" s="11"/>
      <x:c r="E201" s="11"/>
      <x:c r="F201" s="11"/>
      <x:c r="G201" s="11"/>
      <x:c r="H201" s="11"/>
      <x:c r="I201" s="15"/>
      <x:c r="J201" s="11"/>
      <x:c r="K201" s="11"/>
      <x:c r="L201" s="11"/>
      <x:c r="M201" s="11"/>
      <x:c r="N201" s="15"/>
      <x:c r="O201" s="14"/>
      <x:c r="P201" s="11"/>
    </x:row>
    <x:row r="202" ht="60" customHeight="1">
      <x:c r="A202" s="11"/>
      <x:c r="B202" s="11"/>
      <x:c r="C202" s="11"/>
      <x:c r="D202" s="11"/>
      <x:c r="E202" s="11"/>
      <x:c r="F202" s="11"/>
      <x:c r="G202" s="11"/>
      <x:c r="H202" s="11"/>
      <x:c r="I202" s="15"/>
      <x:c r="J202" s="11"/>
      <x:c r="K202" s="11"/>
      <x:c r="L202" s="11"/>
      <x:c r="M202" s="11"/>
      <x:c r="N202" s="15"/>
      <x:c r="O202" s="14"/>
      <x:c r="P202" s="11"/>
    </x:row>
    <x:row r="203" ht="60" customHeight="1">
      <x:c r="A203" s="11"/>
      <x:c r="B203" s="11"/>
      <x:c r="C203" s="11"/>
      <x:c r="D203" s="11"/>
      <x:c r="E203" s="11"/>
      <x:c r="F203" s="11"/>
      <x:c r="G203" s="11"/>
      <x:c r="H203" s="11"/>
      <x:c r="I203" s="15"/>
      <x:c r="J203" s="11"/>
      <x:c r="K203" s="11"/>
      <x:c r="L203" s="11"/>
      <x:c r="M203" s="11"/>
      <x:c r="N203" s="15"/>
      <x:c r="O203" s="14"/>
      <x:c r="P203" s="11"/>
    </x:row>
    <x:row r="204" ht="60" customHeight="1">
      <x:c r="A204" s="11"/>
      <x:c r="B204" s="11"/>
      <x:c r="C204" s="11"/>
      <x:c r="D204" s="11"/>
      <x:c r="E204" s="11"/>
      <x:c r="F204" s="11"/>
      <x:c r="G204" s="11"/>
      <x:c r="H204" s="11"/>
      <x:c r="I204" s="15"/>
      <x:c r="J204" s="11"/>
      <x:c r="K204" s="11"/>
      <x:c r="L204" s="11"/>
      <x:c r="M204" s="11"/>
      <x:c r="N204" s="15"/>
      <x:c r="O204" s="14"/>
      <x:c r="P204" s="11"/>
    </x:row>
    <x:row r="205" ht="60" customHeight="1">
      <x:c r="A205" s="11"/>
      <x:c r="B205" s="11"/>
      <x:c r="C205" s="11"/>
      <x:c r="D205" s="11"/>
      <x:c r="E205" s="11"/>
      <x:c r="F205" s="11"/>
      <x:c r="G205" s="11"/>
      <x:c r="H205" s="11"/>
      <x:c r="I205" s="15"/>
      <x:c r="J205" s="11"/>
      <x:c r="K205" s="11"/>
      <x:c r="L205" s="11"/>
      <x:c r="M205" s="11"/>
      <x:c r="N205" s="15"/>
      <x:c r="O205" s="14"/>
      <x:c r="P205" s="11"/>
    </x:row>
    <x:row r="206" ht="60" customHeight="1">
      <x:c r="A206" s="11"/>
      <x:c r="B206" s="11"/>
      <x:c r="C206" s="11"/>
      <x:c r="D206" s="11"/>
      <x:c r="E206" s="11"/>
      <x:c r="F206" s="11"/>
      <x:c r="G206" s="11"/>
      <x:c r="H206" s="11"/>
      <x:c r="I206" s="15"/>
      <x:c r="J206" s="11"/>
      <x:c r="K206" s="11"/>
      <x:c r="L206" s="11"/>
      <x:c r="M206" s="11"/>
      <x:c r="N206" s="15"/>
      <x:c r="O206" s="14"/>
      <x:c r="P206" s="11"/>
    </x:row>
  </x:sheetData>
  <x:conditionalFormatting sqref="K7:K206">
    <x:cfRule type="containsText" dxfId="5" priority="1" operator="containsText" text="Conflict"/>
  </x:conditionalFormatting>
  <x:dataValidations count="1">
    <x:dataValidation type="list" sqref="K7:K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bb51a08996424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Variation and change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Change ID</x:v>
      </x:c>
      <x:c r="B6" s="8" t="str">
        <x:v>Project ID</x:v>
      </x:c>
      <x:c r="C6" s="8" t="str">
        <x:v>WBS ID</x:v>
      </x:c>
      <x:c r="D6" s="8" t="str">
        <x:v>Description</x:v>
      </x:c>
      <x:c r="E6" s="8" t="str">
        <x:v>Cause</x:v>
      </x:c>
      <x:c r="F6" s="8" t="str">
        <x:v>Notice Date</x:v>
      </x:c>
      <x:c r="G6" s="8" t="str">
        <x:v>Cost Impact PHP</x:v>
      </x:c>
      <x:c r="H6" s="8" t="str">
        <x:v>Time Impact Days</x:v>
      </x:c>
      <x:c r="I6" s="8" t="str">
        <x:v>Owner</x:v>
      </x:c>
      <x:c r="J6" s="8" t="str">
        <x:v>Status</x:v>
      </x:c>
      <x:c r="K6" s="8" t="str">
        <x:v>Authorization Reference</x:v>
      </x:c>
      <x:c r="L6" s="8" t="str">
        <x:v>Evidence Reference</x:v>
      </x:c>
      <x:c r="M6" s="8" t="str">
        <x:v>Reviewer</x:v>
      </x:c>
      <x:c r="N6" s="8" t="str">
        <x:v>Review Date</x:v>
      </x:c>
      <x:c r="O6" s="8" t="str">
        <x:v>Revision</x:v>
      </x:c>
      <x:c r="P6" s="8" t="str">
        <x:v>Source Reference</x:v>
      </x:c>
    </x:row>
    <x:row r="7" ht="60" customHeight="1">
      <x:c r="A7" s="11"/>
      <x:c r="B7" s="11"/>
      <x:c r="C7" s="11"/>
      <x:c r="D7" s="11"/>
      <x:c r="E7" s="11"/>
      <x:c r="F7" s="15"/>
      <x:c r="G7" s="16"/>
      <x:c r="H7" s="12"/>
      <x:c r="I7" s="11"/>
      <x:c r="J7" s="11"/>
      <x:c r="K7" s="11"/>
      <x:c r="L7" s="11"/>
      <x:c r="M7" s="11"/>
      <x:c r="N7" s="15"/>
      <x:c r="O7" s="14"/>
      <x:c r="P7" s="11"/>
    </x:row>
    <x:row r="8" ht="60" customHeight="1">
      <x:c r="A8" s="11"/>
      <x:c r="B8" s="11"/>
      <x:c r="C8" s="11"/>
      <x:c r="D8" s="11"/>
      <x:c r="E8" s="11"/>
      <x:c r="F8" s="15"/>
      <x:c r="G8" s="16"/>
      <x:c r="H8" s="12"/>
      <x:c r="I8" s="11"/>
      <x:c r="J8" s="11"/>
      <x:c r="K8" s="11"/>
      <x:c r="L8" s="11"/>
      <x:c r="M8" s="11"/>
      <x:c r="N8" s="15"/>
      <x:c r="O8" s="14"/>
      <x:c r="P8" s="11"/>
    </x:row>
    <x:row r="9" ht="60" customHeight="1">
      <x:c r="A9" s="11"/>
      <x:c r="B9" s="11"/>
      <x:c r="C9" s="11"/>
      <x:c r="D9" s="11"/>
      <x:c r="E9" s="11"/>
      <x:c r="F9" s="15"/>
      <x:c r="G9" s="16"/>
      <x:c r="H9" s="12"/>
      <x:c r="I9" s="11"/>
      <x:c r="J9" s="11"/>
      <x:c r="K9" s="11"/>
      <x:c r="L9" s="11"/>
      <x:c r="M9" s="11"/>
      <x:c r="N9" s="15"/>
      <x:c r="O9" s="14"/>
      <x:c r="P9" s="11"/>
    </x:row>
    <x:row r="10" ht="60" customHeight="1">
      <x:c r="A10" s="11"/>
      <x:c r="B10" s="11"/>
      <x:c r="C10" s="11"/>
      <x:c r="D10" s="11"/>
      <x:c r="E10" s="11"/>
      <x:c r="F10" s="15"/>
      <x:c r="G10" s="16"/>
      <x:c r="H10" s="12"/>
      <x:c r="I10" s="11"/>
      <x:c r="J10" s="11"/>
      <x:c r="K10" s="11"/>
      <x:c r="L10" s="11"/>
      <x:c r="M10" s="11"/>
      <x:c r="N10" s="15"/>
      <x:c r="O10" s="14"/>
      <x:c r="P10" s="11"/>
    </x:row>
    <x:row r="11" ht="60" customHeight="1">
      <x:c r="A11" s="11"/>
      <x:c r="B11" s="11"/>
      <x:c r="C11" s="11"/>
      <x:c r="D11" s="11"/>
      <x:c r="E11" s="11"/>
      <x:c r="F11" s="15"/>
      <x:c r="G11" s="16"/>
      <x:c r="H11" s="12"/>
      <x:c r="I11" s="11"/>
      <x:c r="J11" s="11"/>
      <x:c r="K11" s="11"/>
      <x:c r="L11" s="11"/>
      <x:c r="M11" s="11"/>
      <x:c r="N11" s="15"/>
      <x:c r="O11" s="14"/>
      <x:c r="P11" s="11"/>
    </x:row>
    <x:row r="12" ht="60" customHeight="1">
      <x:c r="A12" s="11"/>
      <x:c r="B12" s="11"/>
      <x:c r="C12" s="11"/>
      <x:c r="D12" s="11"/>
      <x:c r="E12" s="11"/>
      <x:c r="F12" s="15"/>
      <x:c r="G12" s="16"/>
      <x:c r="H12" s="12"/>
      <x:c r="I12" s="11"/>
      <x:c r="J12" s="11"/>
      <x:c r="K12" s="11"/>
      <x:c r="L12" s="11"/>
      <x:c r="M12" s="11"/>
      <x:c r="N12" s="15"/>
      <x:c r="O12" s="14"/>
      <x:c r="P12" s="11"/>
    </x:row>
    <x:row r="13" ht="60" customHeight="1">
      <x:c r="A13" s="11"/>
      <x:c r="B13" s="11"/>
      <x:c r="C13" s="11"/>
      <x:c r="D13" s="11"/>
      <x:c r="E13" s="11"/>
      <x:c r="F13" s="15"/>
      <x:c r="G13" s="16"/>
      <x:c r="H13" s="12"/>
      <x:c r="I13" s="11"/>
      <x:c r="J13" s="11"/>
      <x:c r="K13" s="11"/>
      <x:c r="L13" s="11"/>
      <x:c r="M13" s="11"/>
      <x:c r="N13" s="15"/>
      <x:c r="O13" s="14"/>
      <x:c r="P13" s="11"/>
    </x:row>
    <x:row r="14" ht="60" customHeight="1">
      <x:c r="A14" s="11"/>
      <x:c r="B14" s="11"/>
      <x:c r="C14" s="11"/>
      <x:c r="D14" s="11"/>
      <x:c r="E14" s="11"/>
      <x:c r="F14" s="15"/>
      <x:c r="G14" s="16"/>
      <x:c r="H14" s="12"/>
      <x:c r="I14" s="11"/>
      <x:c r="J14" s="11"/>
      <x:c r="K14" s="11"/>
      <x:c r="L14" s="11"/>
      <x:c r="M14" s="11"/>
      <x:c r="N14" s="15"/>
      <x:c r="O14" s="14"/>
      <x:c r="P14" s="11"/>
    </x:row>
    <x:row r="15" ht="60" customHeight="1">
      <x:c r="A15" s="11"/>
      <x:c r="B15" s="11"/>
      <x:c r="C15" s="11"/>
      <x:c r="D15" s="11"/>
      <x:c r="E15" s="11"/>
      <x:c r="F15" s="15"/>
      <x:c r="G15" s="16"/>
      <x:c r="H15" s="12"/>
      <x:c r="I15" s="11"/>
      <x:c r="J15" s="11"/>
      <x:c r="K15" s="11"/>
      <x:c r="L15" s="11"/>
      <x:c r="M15" s="11"/>
      <x:c r="N15" s="15"/>
      <x:c r="O15" s="14"/>
      <x:c r="P15" s="11"/>
    </x:row>
    <x:row r="16" ht="60" customHeight="1">
      <x:c r="A16" s="11"/>
      <x:c r="B16" s="11"/>
      <x:c r="C16" s="11"/>
      <x:c r="D16" s="11"/>
      <x:c r="E16" s="11"/>
      <x:c r="F16" s="15"/>
      <x:c r="G16" s="16"/>
      <x:c r="H16" s="12"/>
      <x:c r="I16" s="11"/>
      <x:c r="J16" s="11"/>
      <x:c r="K16" s="11"/>
      <x:c r="L16" s="11"/>
      <x:c r="M16" s="11"/>
      <x:c r="N16" s="15"/>
      <x:c r="O16" s="14"/>
      <x:c r="P16" s="11"/>
    </x:row>
    <x:row r="17" ht="60" customHeight="1">
      <x:c r="A17" s="11"/>
      <x:c r="B17" s="11"/>
      <x:c r="C17" s="11"/>
      <x:c r="D17" s="11"/>
      <x:c r="E17" s="11"/>
      <x:c r="F17" s="15"/>
      <x:c r="G17" s="16"/>
      <x:c r="H17" s="12"/>
      <x:c r="I17" s="11"/>
      <x:c r="J17" s="11"/>
      <x:c r="K17" s="11"/>
      <x:c r="L17" s="11"/>
      <x:c r="M17" s="11"/>
      <x:c r="N17" s="15"/>
      <x:c r="O17" s="14"/>
      <x:c r="P17" s="11"/>
    </x:row>
    <x:row r="18" ht="60" customHeight="1">
      <x:c r="A18" s="11"/>
      <x:c r="B18" s="11"/>
      <x:c r="C18" s="11"/>
      <x:c r="D18" s="11"/>
      <x:c r="E18" s="11"/>
      <x:c r="F18" s="15"/>
      <x:c r="G18" s="16"/>
      <x:c r="H18" s="12"/>
      <x:c r="I18" s="11"/>
      <x:c r="J18" s="11"/>
      <x:c r="K18" s="11"/>
      <x:c r="L18" s="11"/>
      <x:c r="M18" s="11"/>
      <x:c r="N18" s="15"/>
      <x:c r="O18" s="14"/>
      <x:c r="P18" s="11"/>
    </x:row>
    <x:row r="19" ht="60" customHeight="1">
      <x:c r="A19" s="11"/>
      <x:c r="B19" s="11"/>
      <x:c r="C19" s="11"/>
      <x:c r="D19" s="11"/>
      <x:c r="E19" s="11"/>
      <x:c r="F19" s="15"/>
      <x:c r="G19" s="16"/>
      <x:c r="H19" s="12"/>
      <x:c r="I19" s="11"/>
      <x:c r="J19" s="11"/>
      <x:c r="K19" s="11"/>
      <x:c r="L19" s="11"/>
      <x:c r="M19" s="11"/>
      <x:c r="N19" s="15"/>
      <x:c r="O19" s="14"/>
      <x:c r="P19" s="11"/>
    </x:row>
    <x:row r="20" ht="60" customHeight="1">
      <x:c r="A20" s="11"/>
      <x:c r="B20" s="11"/>
      <x:c r="C20" s="11"/>
      <x:c r="D20" s="11"/>
      <x:c r="E20" s="11"/>
      <x:c r="F20" s="15"/>
      <x:c r="G20" s="16"/>
      <x:c r="H20" s="12"/>
      <x:c r="I20" s="11"/>
      <x:c r="J20" s="11"/>
      <x:c r="K20" s="11"/>
      <x:c r="L20" s="11"/>
      <x:c r="M20" s="11"/>
      <x:c r="N20" s="15"/>
      <x:c r="O20" s="14"/>
      <x:c r="P20" s="11"/>
    </x:row>
    <x:row r="21" ht="60" customHeight="1">
      <x:c r="A21" s="11"/>
      <x:c r="B21" s="11"/>
      <x:c r="C21" s="11"/>
      <x:c r="D21" s="11"/>
      <x:c r="E21" s="11"/>
      <x:c r="F21" s="15"/>
      <x:c r="G21" s="16"/>
      <x:c r="H21" s="12"/>
      <x:c r="I21" s="11"/>
      <x:c r="J21" s="11"/>
      <x:c r="K21" s="11"/>
      <x:c r="L21" s="11"/>
      <x:c r="M21" s="11"/>
      <x:c r="N21" s="15"/>
      <x:c r="O21" s="14"/>
      <x:c r="P21" s="11"/>
    </x:row>
    <x:row r="22" ht="60" customHeight="1">
      <x:c r="A22" s="11"/>
      <x:c r="B22" s="11"/>
      <x:c r="C22" s="11"/>
      <x:c r="D22" s="11"/>
      <x:c r="E22" s="11"/>
      <x:c r="F22" s="15"/>
      <x:c r="G22" s="16"/>
      <x:c r="H22" s="12"/>
      <x:c r="I22" s="11"/>
      <x:c r="J22" s="11"/>
      <x:c r="K22" s="11"/>
      <x:c r="L22" s="11"/>
      <x:c r="M22" s="11"/>
      <x:c r="N22" s="15"/>
      <x:c r="O22" s="14"/>
      <x:c r="P22" s="11"/>
    </x:row>
    <x:row r="23" ht="60" customHeight="1">
      <x:c r="A23" s="11"/>
      <x:c r="B23" s="11"/>
      <x:c r="C23" s="11"/>
      <x:c r="D23" s="11"/>
      <x:c r="E23" s="11"/>
      <x:c r="F23" s="15"/>
      <x:c r="G23" s="16"/>
      <x:c r="H23" s="12"/>
      <x:c r="I23" s="11"/>
      <x:c r="J23" s="11"/>
      <x:c r="K23" s="11"/>
      <x:c r="L23" s="11"/>
      <x:c r="M23" s="11"/>
      <x:c r="N23" s="15"/>
      <x:c r="O23" s="14"/>
      <x:c r="P23" s="11"/>
    </x:row>
    <x:row r="24" ht="60" customHeight="1">
      <x:c r="A24" s="11"/>
      <x:c r="B24" s="11"/>
      <x:c r="C24" s="11"/>
      <x:c r="D24" s="11"/>
      <x:c r="E24" s="11"/>
      <x:c r="F24" s="15"/>
      <x:c r="G24" s="16"/>
      <x:c r="H24" s="12"/>
      <x:c r="I24" s="11"/>
      <x:c r="J24" s="11"/>
      <x:c r="K24" s="11"/>
      <x:c r="L24" s="11"/>
      <x:c r="M24" s="11"/>
      <x:c r="N24" s="15"/>
      <x:c r="O24" s="14"/>
      <x:c r="P24" s="11"/>
    </x:row>
    <x:row r="25" ht="60" customHeight="1">
      <x:c r="A25" s="11"/>
      <x:c r="B25" s="11"/>
      <x:c r="C25" s="11"/>
      <x:c r="D25" s="11"/>
      <x:c r="E25" s="11"/>
      <x:c r="F25" s="15"/>
      <x:c r="G25" s="16"/>
      <x:c r="H25" s="12"/>
      <x:c r="I25" s="11"/>
      <x:c r="J25" s="11"/>
      <x:c r="K25" s="11"/>
      <x:c r="L25" s="11"/>
      <x:c r="M25" s="11"/>
      <x:c r="N25" s="15"/>
      <x:c r="O25" s="14"/>
      <x:c r="P25" s="11"/>
    </x:row>
    <x:row r="26" ht="60" customHeight="1">
      <x:c r="A26" s="11"/>
      <x:c r="B26" s="11"/>
      <x:c r="C26" s="11"/>
      <x:c r="D26" s="11"/>
      <x:c r="E26" s="11"/>
      <x:c r="F26" s="15"/>
      <x:c r="G26" s="16"/>
      <x:c r="H26" s="12"/>
      <x:c r="I26" s="11"/>
      <x:c r="J26" s="11"/>
      <x:c r="K26" s="11"/>
      <x:c r="L26" s="11"/>
      <x:c r="M26" s="11"/>
      <x:c r="N26" s="15"/>
      <x:c r="O26" s="14"/>
      <x:c r="P26" s="11"/>
    </x:row>
    <x:row r="27" ht="60" customHeight="1">
      <x:c r="A27" s="11"/>
      <x:c r="B27" s="11"/>
      <x:c r="C27" s="11"/>
      <x:c r="D27" s="11"/>
      <x:c r="E27" s="11"/>
      <x:c r="F27" s="15"/>
      <x:c r="G27" s="16"/>
      <x:c r="H27" s="12"/>
      <x:c r="I27" s="11"/>
      <x:c r="J27" s="11"/>
      <x:c r="K27" s="11"/>
      <x:c r="L27" s="11"/>
      <x:c r="M27" s="11"/>
      <x:c r="N27" s="15"/>
      <x:c r="O27" s="14"/>
      <x:c r="P27" s="11"/>
    </x:row>
    <x:row r="28" ht="60" customHeight="1">
      <x:c r="A28" s="11"/>
      <x:c r="B28" s="11"/>
      <x:c r="C28" s="11"/>
      <x:c r="D28" s="11"/>
      <x:c r="E28" s="11"/>
      <x:c r="F28" s="15"/>
      <x:c r="G28" s="16"/>
      <x:c r="H28" s="12"/>
      <x:c r="I28" s="11"/>
      <x:c r="J28" s="11"/>
      <x:c r="K28" s="11"/>
      <x:c r="L28" s="11"/>
      <x:c r="M28" s="11"/>
      <x:c r="N28" s="15"/>
      <x:c r="O28" s="14"/>
      <x:c r="P28" s="11"/>
    </x:row>
    <x:row r="29" ht="60" customHeight="1">
      <x:c r="A29" s="11"/>
      <x:c r="B29" s="11"/>
      <x:c r="C29" s="11"/>
      <x:c r="D29" s="11"/>
      <x:c r="E29" s="11"/>
      <x:c r="F29" s="15"/>
      <x:c r="G29" s="16"/>
      <x:c r="H29" s="12"/>
      <x:c r="I29" s="11"/>
      <x:c r="J29" s="11"/>
      <x:c r="K29" s="11"/>
      <x:c r="L29" s="11"/>
      <x:c r="M29" s="11"/>
      <x:c r="N29" s="15"/>
      <x:c r="O29" s="14"/>
      <x:c r="P29" s="11"/>
    </x:row>
    <x:row r="30" ht="60" customHeight="1">
      <x:c r="A30" s="11"/>
      <x:c r="B30" s="11"/>
      <x:c r="C30" s="11"/>
      <x:c r="D30" s="11"/>
      <x:c r="E30" s="11"/>
      <x:c r="F30" s="15"/>
      <x:c r="G30" s="16"/>
      <x:c r="H30" s="12"/>
      <x:c r="I30" s="11"/>
      <x:c r="J30" s="11"/>
      <x:c r="K30" s="11"/>
      <x:c r="L30" s="11"/>
      <x:c r="M30" s="11"/>
      <x:c r="N30" s="15"/>
      <x:c r="O30" s="14"/>
      <x:c r="P30" s="11"/>
    </x:row>
    <x:row r="31" ht="60" customHeight="1">
      <x:c r="A31" s="11"/>
      <x:c r="B31" s="11"/>
      <x:c r="C31" s="11"/>
      <x:c r="D31" s="11"/>
      <x:c r="E31" s="11"/>
      <x:c r="F31" s="15"/>
      <x:c r="G31" s="16"/>
      <x:c r="H31" s="12"/>
      <x:c r="I31" s="11"/>
      <x:c r="J31" s="11"/>
      <x:c r="K31" s="11"/>
      <x:c r="L31" s="11"/>
      <x:c r="M31" s="11"/>
      <x:c r="N31" s="15"/>
      <x:c r="O31" s="14"/>
      <x:c r="P31" s="11"/>
    </x:row>
    <x:row r="32" ht="60" customHeight="1">
      <x:c r="A32" s="11"/>
      <x:c r="B32" s="11"/>
      <x:c r="C32" s="11"/>
      <x:c r="D32" s="11"/>
      <x:c r="E32" s="11"/>
      <x:c r="F32" s="15"/>
      <x:c r="G32" s="16"/>
      <x:c r="H32" s="12"/>
      <x:c r="I32" s="11"/>
      <x:c r="J32" s="11"/>
      <x:c r="K32" s="11"/>
      <x:c r="L32" s="11"/>
      <x:c r="M32" s="11"/>
      <x:c r="N32" s="15"/>
      <x:c r="O32" s="14"/>
      <x:c r="P32" s="11"/>
    </x:row>
    <x:row r="33" ht="60" customHeight="1">
      <x:c r="A33" s="11"/>
      <x:c r="B33" s="11"/>
      <x:c r="C33" s="11"/>
      <x:c r="D33" s="11"/>
      <x:c r="E33" s="11"/>
      <x:c r="F33" s="15"/>
      <x:c r="G33" s="16"/>
      <x:c r="H33" s="12"/>
      <x:c r="I33" s="11"/>
      <x:c r="J33" s="11"/>
      <x:c r="K33" s="11"/>
      <x:c r="L33" s="11"/>
      <x:c r="M33" s="11"/>
      <x:c r="N33" s="15"/>
      <x:c r="O33" s="14"/>
      <x:c r="P33" s="11"/>
    </x:row>
    <x:row r="34" ht="60" customHeight="1">
      <x:c r="A34" s="11"/>
      <x:c r="B34" s="11"/>
      <x:c r="C34" s="11"/>
      <x:c r="D34" s="11"/>
      <x:c r="E34" s="11"/>
      <x:c r="F34" s="15"/>
      <x:c r="G34" s="16"/>
      <x:c r="H34" s="12"/>
      <x:c r="I34" s="11"/>
      <x:c r="J34" s="11"/>
      <x:c r="K34" s="11"/>
      <x:c r="L34" s="11"/>
      <x:c r="M34" s="11"/>
      <x:c r="N34" s="15"/>
      <x:c r="O34" s="14"/>
      <x:c r="P34" s="11"/>
    </x:row>
    <x:row r="35" ht="60" customHeight="1">
      <x:c r="A35" s="11"/>
      <x:c r="B35" s="11"/>
      <x:c r="C35" s="11"/>
      <x:c r="D35" s="11"/>
      <x:c r="E35" s="11"/>
      <x:c r="F35" s="15"/>
      <x:c r="G35" s="16"/>
      <x:c r="H35" s="12"/>
      <x:c r="I35" s="11"/>
      <x:c r="J35" s="11"/>
      <x:c r="K35" s="11"/>
      <x:c r="L35" s="11"/>
      <x:c r="M35" s="11"/>
      <x:c r="N35" s="15"/>
      <x:c r="O35" s="14"/>
      <x:c r="P35" s="11"/>
    </x:row>
    <x:row r="36" ht="60" customHeight="1">
      <x:c r="A36" s="11"/>
      <x:c r="B36" s="11"/>
      <x:c r="C36" s="11"/>
      <x:c r="D36" s="11"/>
      <x:c r="E36" s="11"/>
      <x:c r="F36" s="15"/>
      <x:c r="G36" s="16"/>
      <x:c r="H36" s="12"/>
      <x:c r="I36" s="11"/>
      <x:c r="J36" s="11"/>
      <x:c r="K36" s="11"/>
      <x:c r="L36" s="11"/>
      <x:c r="M36" s="11"/>
      <x:c r="N36" s="15"/>
      <x:c r="O36" s="14"/>
      <x:c r="P36" s="11"/>
    </x:row>
    <x:row r="37" ht="60" customHeight="1">
      <x:c r="A37" s="11"/>
      <x:c r="B37" s="11"/>
      <x:c r="C37" s="11"/>
      <x:c r="D37" s="11"/>
      <x:c r="E37" s="11"/>
      <x:c r="F37" s="15"/>
      <x:c r="G37" s="16"/>
      <x:c r="H37" s="12"/>
      <x:c r="I37" s="11"/>
      <x:c r="J37" s="11"/>
      <x:c r="K37" s="11"/>
      <x:c r="L37" s="11"/>
      <x:c r="M37" s="11"/>
      <x:c r="N37" s="15"/>
      <x:c r="O37" s="14"/>
      <x:c r="P37" s="11"/>
    </x:row>
    <x:row r="38" ht="60" customHeight="1">
      <x:c r="A38" s="11"/>
      <x:c r="B38" s="11"/>
      <x:c r="C38" s="11"/>
      <x:c r="D38" s="11"/>
      <x:c r="E38" s="11"/>
      <x:c r="F38" s="15"/>
      <x:c r="G38" s="16"/>
      <x:c r="H38" s="12"/>
      <x:c r="I38" s="11"/>
      <x:c r="J38" s="11"/>
      <x:c r="K38" s="11"/>
      <x:c r="L38" s="11"/>
      <x:c r="M38" s="11"/>
      <x:c r="N38" s="15"/>
      <x:c r="O38" s="14"/>
      <x:c r="P38" s="11"/>
    </x:row>
    <x:row r="39" ht="60" customHeight="1">
      <x:c r="A39" s="11"/>
      <x:c r="B39" s="11"/>
      <x:c r="C39" s="11"/>
      <x:c r="D39" s="11"/>
      <x:c r="E39" s="11"/>
      <x:c r="F39" s="15"/>
      <x:c r="G39" s="16"/>
      <x:c r="H39" s="12"/>
      <x:c r="I39" s="11"/>
      <x:c r="J39" s="11"/>
      <x:c r="K39" s="11"/>
      <x:c r="L39" s="11"/>
      <x:c r="M39" s="11"/>
      <x:c r="N39" s="15"/>
      <x:c r="O39" s="14"/>
      <x:c r="P39" s="11"/>
    </x:row>
    <x:row r="40" ht="60" customHeight="1">
      <x:c r="A40" s="11"/>
      <x:c r="B40" s="11"/>
      <x:c r="C40" s="11"/>
      <x:c r="D40" s="11"/>
      <x:c r="E40" s="11"/>
      <x:c r="F40" s="15"/>
      <x:c r="G40" s="16"/>
      <x:c r="H40" s="12"/>
      <x:c r="I40" s="11"/>
      <x:c r="J40" s="11"/>
      <x:c r="K40" s="11"/>
      <x:c r="L40" s="11"/>
      <x:c r="M40" s="11"/>
      <x:c r="N40" s="15"/>
      <x:c r="O40" s="14"/>
      <x:c r="P40" s="11"/>
    </x:row>
    <x:row r="41" ht="60" customHeight="1">
      <x:c r="A41" s="11"/>
      <x:c r="B41" s="11"/>
      <x:c r="C41" s="11"/>
      <x:c r="D41" s="11"/>
      <x:c r="E41" s="11"/>
      <x:c r="F41" s="15"/>
      <x:c r="G41" s="16"/>
      <x:c r="H41" s="12"/>
      <x:c r="I41" s="11"/>
      <x:c r="J41" s="11"/>
      <x:c r="K41" s="11"/>
      <x:c r="L41" s="11"/>
      <x:c r="M41" s="11"/>
      <x:c r="N41" s="15"/>
      <x:c r="O41" s="14"/>
      <x:c r="P41" s="11"/>
    </x:row>
    <x:row r="42" ht="60" customHeight="1">
      <x:c r="A42" s="11"/>
      <x:c r="B42" s="11"/>
      <x:c r="C42" s="11"/>
      <x:c r="D42" s="11"/>
      <x:c r="E42" s="11"/>
      <x:c r="F42" s="15"/>
      <x:c r="G42" s="16"/>
      <x:c r="H42" s="12"/>
      <x:c r="I42" s="11"/>
      <x:c r="J42" s="11"/>
      <x:c r="K42" s="11"/>
      <x:c r="L42" s="11"/>
      <x:c r="M42" s="11"/>
      <x:c r="N42" s="15"/>
      <x:c r="O42" s="14"/>
      <x:c r="P42" s="11"/>
    </x:row>
    <x:row r="43" ht="60" customHeight="1">
      <x:c r="A43" s="11"/>
      <x:c r="B43" s="11"/>
      <x:c r="C43" s="11"/>
      <x:c r="D43" s="11"/>
      <x:c r="E43" s="11"/>
      <x:c r="F43" s="15"/>
      <x:c r="G43" s="16"/>
      <x:c r="H43" s="12"/>
      <x:c r="I43" s="11"/>
      <x:c r="J43" s="11"/>
      <x:c r="K43" s="11"/>
      <x:c r="L43" s="11"/>
      <x:c r="M43" s="11"/>
      <x:c r="N43" s="15"/>
      <x:c r="O43" s="14"/>
      <x:c r="P43" s="11"/>
    </x:row>
    <x:row r="44" ht="60" customHeight="1">
      <x:c r="A44" s="11"/>
      <x:c r="B44" s="11"/>
      <x:c r="C44" s="11"/>
      <x:c r="D44" s="11"/>
      <x:c r="E44" s="11"/>
      <x:c r="F44" s="15"/>
      <x:c r="G44" s="16"/>
      <x:c r="H44" s="12"/>
      <x:c r="I44" s="11"/>
      <x:c r="J44" s="11"/>
      <x:c r="K44" s="11"/>
      <x:c r="L44" s="11"/>
      <x:c r="M44" s="11"/>
      <x:c r="N44" s="15"/>
      <x:c r="O44" s="14"/>
      <x:c r="P44" s="11"/>
    </x:row>
    <x:row r="45" ht="60" customHeight="1">
      <x:c r="A45" s="11"/>
      <x:c r="B45" s="11"/>
      <x:c r="C45" s="11"/>
      <x:c r="D45" s="11"/>
      <x:c r="E45" s="11"/>
      <x:c r="F45" s="15"/>
      <x:c r="G45" s="16"/>
      <x:c r="H45" s="12"/>
      <x:c r="I45" s="11"/>
      <x:c r="J45" s="11"/>
      <x:c r="K45" s="11"/>
      <x:c r="L45" s="11"/>
      <x:c r="M45" s="11"/>
      <x:c r="N45" s="15"/>
      <x:c r="O45" s="14"/>
      <x:c r="P45" s="11"/>
    </x:row>
    <x:row r="46" ht="60" customHeight="1">
      <x:c r="A46" s="11"/>
      <x:c r="B46" s="11"/>
      <x:c r="C46" s="11"/>
      <x:c r="D46" s="11"/>
      <x:c r="E46" s="11"/>
      <x:c r="F46" s="15"/>
      <x:c r="G46" s="16"/>
      <x:c r="H46" s="12"/>
      <x:c r="I46" s="11"/>
      <x:c r="J46" s="11"/>
      <x:c r="K46" s="11"/>
      <x:c r="L46" s="11"/>
      <x:c r="M46" s="11"/>
      <x:c r="N46" s="15"/>
      <x:c r="O46" s="14"/>
      <x:c r="P46" s="11"/>
    </x:row>
    <x:row r="47" ht="60" customHeight="1">
      <x:c r="A47" s="11"/>
      <x:c r="B47" s="11"/>
      <x:c r="C47" s="11"/>
      <x:c r="D47" s="11"/>
      <x:c r="E47" s="11"/>
      <x:c r="F47" s="15"/>
      <x:c r="G47" s="16"/>
      <x:c r="H47" s="12"/>
      <x:c r="I47" s="11"/>
      <x:c r="J47" s="11"/>
      <x:c r="K47" s="11"/>
      <x:c r="L47" s="11"/>
      <x:c r="M47" s="11"/>
      <x:c r="N47" s="15"/>
      <x:c r="O47" s="14"/>
      <x:c r="P47" s="11"/>
    </x:row>
    <x:row r="48" ht="60" customHeight="1">
      <x:c r="A48" s="11"/>
      <x:c r="B48" s="11"/>
      <x:c r="C48" s="11"/>
      <x:c r="D48" s="11"/>
      <x:c r="E48" s="11"/>
      <x:c r="F48" s="15"/>
      <x:c r="G48" s="16"/>
      <x:c r="H48" s="12"/>
      <x:c r="I48" s="11"/>
      <x:c r="J48" s="11"/>
      <x:c r="K48" s="11"/>
      <x:c r="L48" s="11"/>
      <x:c r="M48" s="11"/>
      <x:c r="N48" s="15"/>
      <x:c r="O48" s="14"/>
      <x:c r="P48" s="11"/>
    </x:row>
    <x:row r="49" ht="60" customHeight="1">
      <x:c r="A49" s="11"/>
      <x:c r="B49" s="11"/>
      <x:c r="C49" s="11"/>
      <x:c r="D49" s="11"/>
      <x:c r="E49" s="11"/>
      <x:c r="F49" s="15"/>
      <x:c r="G49" s="16"/>
      <x:c r="H49" s="12"/>
      <x:c r="I49" s="11"/>
      <x:c r="J49" s="11"/>
      <x:c r="K49" s="11"/>
      <x:c r="L49" s="11"/>
      <x:c r="M49" s="11"/>
      <x:c r="N49" s="15"/>
      <x:c r="O49" s="14"/>
      <x:c r="P49" s="11"/>
    </x:row>
    <x:row r="50" ht="60" customHeight="1">
      <x:c r="A50" s="11"/>
      <x:c r="B50" s="11"/>
      <x:c r="C50" s="11"/>
      <x:c r="D50" s="11"/>
      <x:c r="E50" s="11"/>
      <x:c r="F50" s="15"/>
      <x:c r="G50" s="16"/>
      <x:c r="H50" s="12"/>
      <x:c r="I50" s="11"/>
      <x:c r="J50" s="11"/>
      <x:c r="K50" s="11"/>
      <x:c r="L50" s="11"/>
      <x:c r="M50" s="11"/>
      <x:c r="N50" s="15"/>
      <x:c r="O50" s="14"/>
      <x:c r="P50" s="11"/>
    </x:row>
    <x:row r="51" ht="60" customHeight="1">
      <x:c r="A51" s="11"/>
      <x:c r="B51" s="11"/>
      <x:c r="C51" s="11"/>
      <x:c r="D51" s="11"/>
      <x:c r="E51" s="11"/>
      <x:c r="F51" s="15"/>
      <x:c r="G51" s="16"/>
      <x:c r="H51" s="12"/>
      <x:c r="I51" s="11"/>
      <x:c r="J51" s="11"/>
      <x:c r="K51" s="11"/>
      <x:c r="L51" s="11"/>
      <x:c r="M51" s="11"/>
      <x:c r="N51" s="15"/>
      <x:c r="O51" s="14"/>
      <x:c r="P51" s="11"/>
    </x:row>
    <x:row r="52" ht="60" customHeight="1">
      <x:c r="A52" s="11"/>
      <x:c r="B52" s="11"/>
      <x:c r="C52" s="11"/>
      <x:c r="D52" s="11"/>
      <x:c r="E52" s="11"/>
      <x:c r="F52" s="15"/>
      <x:c r="G52" s="16"/>
      <x:c r="H52" s="12"/>
      <x:c r="I52" s="11"/>
      <x:c r="J52" s="11"/>
      <x:c r="K52" s="11"/>
      <x:c r="L52" s="11"/>
      <x:c r="M52" s="11"/>
      <x:c r="N52" s="15"/>
      <x:c r="O52" s="14"/>
      <x:c r="P52" s="11"/>
    </x:row>
    <x:row r="53" ht="60" customHeight="1">
      <x:c r="A53" s="11"/>
      <x:c r="B53" s="11"/>
      <x:c r="C53" s="11"/>
      <x:c r="D53" s="11"/>
      <x:c r="E53" s="11"/>
      <x:c r="F53" s="15"/>
      <x:c r="G53" s="16"/>
      <x:c r="H53" s="12"/>
      <x:c r="I53" s="11"/>
      <x:c r="J53" s="11"/>
      <x:c r="K53" s="11"/>
      <x:c r="L53" s="11"/>
      <x:c r="M53" s="11"/>
      <x:c r="N53" s="15"/>
      <x:c r="O53" s="14"/>
      <x:c r="P53" s="11"/>
    </x:row>
    <x:row r="54" ht="60" customHeight="1">
      <x:c r="A54" s="11"/>
      <x:c r="B54" s="11"/>
      <x:c r="C54" s="11"/>
      <x:c r="D54" s="11"/>
      <x:c r="E54" s="11"/>
      <x:c r="F54" s="15"/>
      <x:c r="G54" s="16"/>
      <x:c r="H54" s="12"/>
      <x:c r="I54" s="11"/>
      <x:c r="J54" s="11"/>
      <x:c r="K54" s="11"/>
      <x:c r="L54" s="11"/>
      <x:c r="M54" s="11"/>
      <x:c r="N54" s="15"/>
      <x:c r="O54" s="14"/>
      <x:c r="P54" s="11"/>
    </x:row>
    <x:row r="55" ht="60" customHeight="1">
      <x:c r="A55" s="11"/>
      <x:c r="B55" s="11"/>
      <x:c r="C55" s="11"/>
      <x:c r="D55" s="11"/>
      <x:c r="E55" s="11"/>
      <x:c r="F55" s="15"/>
      <x:c r="G55" s="16"/>
      <x:c r="H55" s="12"/>
      <x:c r="I55" s="11"/>
      <x:c r="J55" s="11"/>
      <x:c r="K55" s="11"/>
      <x:c r="L55" s="11"/>
      <x:c r="M55" s="11"/>
      <x:c r="N55" s="15"/>
      <x:c r="O55" s="14"/>
      <x:c r="P55" s="11"/>
    </x:row>
    <x:row r="56" ht="60" customHeight="1">
      <x:c r="A56" s="11"/>
      <x:c r="B56" s="11"/>
      <x:c r="C56" s="11"/>
      <x:c r="D56" s="11"/>
      <x:c r="E56" s="11"/>
      <x:c r="F56" s="15"/>
      <x:c r="G56" s="16"/>
      <x:c r="H56" s="12"/>
      <x:c r="I56" s="11"/>
      <x:c r="J56" s="11"/>
      <x:c r="K56" s="11"/>
      <x:c r="L56" s="11"/>
      <x:c r="M56" s="11"/>
      <x:c r="N56" s="15"/>
      <x:c r="O56" s="14"/>
      <x:c r="P56" s="11"/>
    </x:row>
    <x:row r="57" ht="60" customHeight="1">
      <x:c r="A57" s="11"/>
      <x:c r="B57" s="11"/>
      <x:c r="C57" s="11"/>
      <x:c r="D57" s="11"/>
      <x:c r="E57" s="11"/>
      <x:c r="F57" s="15"/>
      <x:c r="G57" s="16"/>
      <x:c r="H57" s="12"/>
      <x:c r="I57" s="11"/>
      <x:c r="J57" s="11"/>
      <x:c r="K57" s="11"/>
      <x:c r="L57" s="11"/>
      <x:c r="M57" s="11"/>
      <x:c r="N57" s="15"/>
      <x:c r="O57" s="14"/>
      <x:c r="P57" s="11"/>
    </x:row>
    <x:row r="58" ht="60" customHeight="1">
      <x:c r="A58" s="11"/>
      <x:c r="B58" s="11"/>
      <x:c r="C58" s="11"/>
      <x:c r="D58" s="11"/>
      <x:c r="E58" s="11"/>
      <x:c r="F58" s="15"/>
      <x:c r="G58" s="16"/>
      <x:c r="H58" s="12"/>
      <x:c r="I58" s="11"/>
      <x:c r="J58" s="11"/>
      <x:c r="K58" s="11"/>
      <x:c r="L58" s="11"/>
      <x:c r="M58" s="11"/>
      <x:c r="N58" s="15"/>
      <x:c r="O58" s="14"/>
      <x:c r="P58" s="11"/>
    </x:row>
    <x:row r="59" ht="60" customHeight="1">
      <x:c r="A59" s="11"/>
      <x:c r="B59" s="11"/>
      <x:c r="C59" s="11"/>
      <x:c r="D59" s="11"/>
      <x:c r="E59" s="11"/>
      <x:c r="F59" s="15"/>
      <x:c r="G59" s="16"/>
      <x:c r="H59" s="12"/>
      <x:c r="I59" s="11"/>
      <x:c r="J59" s="11"/>
      <x:c r="K59" s="11"/>
      <x:c r="L59" s="11"/>
      <x:c r="M59" s="11"/>
      <x:c r="N59" s="15"/>
      <x:c r="O59" s="14"/>
      <x:c r="P59" s="11"/>
    </x:row>
    <x:row r="60" ht="60" customHeight="1">
      <x:c r="A60" s="11"/>
      <x:c r="B60" s="11"/>
      <x:c r="C60" s="11"/>
      <x:c r="D60" s="11"/>
      <x:c r="E60" s="11"/>
      <x:c r="F60" s="15"/>
      <x:c r="G60" s="16"/>
      <x:c r="H60" s="12"/>
      <x:c r="I60" s="11"/>
      <x:c r="J60" s="11"/>
      <x:c r="K60" s="11"/>
      <x:c r="L60" s="11"/>
      <x:c r="M60" s="11"/>
      <x:c r="N60" s="15"/>
      <x:c r="O60" s="14"/>
      <x:c r="P60" s="11"/>
    </x:row>
    <x:row r="61" ht="60" customHeight="1">
      <x:c r="A61" s="11"/>
      <x:c r="B61" s="11"/>
      <x:c r="C61" s="11"/>
      <x:c r="D61" s="11"/>
      <x:c r="E61" s="11"/>
      <x:c r="F61" s="15"/>
      <x:c r="G61" s="16"/>
      <x:c r="H61" s="12"/>
      <x:c r="I61" s="11"/>
      <x:c r="J61" s="11"/>
      <x:c r="K61" s="11"/>
      <x:c r="L61" s="11"/>
      <x:c r="M61" s="11"/>
      <x:c r="N61" s="15"/>
      <x:c r="O61" s="14"/>
      <x:c r="P61" s="11"/>
    </x:row>
    <x:row r="62" ht="60" customHeight="1">
      <x:c r="A62" s="11"/>
      <x:c r="B62" s="11"/>
      <x:c r="C62" s="11"/>
      <x:c r="D62" s="11"/>
      <x:c r="E62" s="11"/>
      <x:c r="F62" s="15"/>
      <x:c r="G62" s="16"/>
      <x:c r="H62" s="12"/>
      <x:c r="I62" s="11"/>
      <x:c r="J62" s="11"/>
      <x:c r="K62" s="11"/>
      <x:c r="L62" s="11"/>
      <x:c r="M62" s="11"/>
      <x:c r="N62" s="15"/>
      <x:c r="O62" s="14"/>
      <x:c r="P62" s="11"/>
    </x:row>
    <x:row r="63" ht="60" customHeight="1">
      <x:c r="A63" s="11"/>
      <x:c r="B63" s="11"/>
      <x:c r="C63" s="11"/>
      <x:c r="D63" s="11"/>
      <x:c r="E63" s="11"/>
      <x:c r="F63" s="15"/>
      <x:c r="G63" s="16"/>
      <x:c r="H63" s="12"/>
      <x:c r="I63" s="11"/>
      <x:c r="J63" s="11"/>
      <x:c r="K63" s="11"/>
      <x:c r="L63" s="11"/>
      <x:c r="M63" s="11"/>
      <x:c r="N63" s="15"/>
      <x:c r="O63" s="14"/>
      <x:c r="P63" s="11"/>
    </x:row>
    <x:row r="64" ht="60" customHeight="1">
      <x:c r="A64" s="11"/>
      <x:c r="B64" s="11"/>
      <x:c r="C64" s="11"/>
      <x:c r="D64" s="11"/>
      <x:c r="E64" s="11"/>
      <x:c r="F64" s="15"/>
      <x:c r="G64" s="16"/>
      <x:c r="H64" s="12"/>
      <x:c r="I64" s="11"/>
      <x:c r="J64" s="11"/>
      <x:c r="K64" s="11"/>
      <x:c r="L64" s="11"/>
      <x:c r="M64" s="11"/>
      <x:c r="N64" s="15"/>
      <x:c r="O64" s="14"/>
      <x:c r="P64" s="11"/>
    </x:row>
    <x:row r="65" ht="60" customHeight="1">
      <x:c r="A65" s="11"/>
      <x:c r="B65" s="11"/>
      <x:c r="C65" s="11"/>
      <x:c r="D65" s="11"/>
      <x:c r="E65" s="11"/>
      <x:c r="F65" s="15"/>
      <x:c r="G65" s="16"/>
      <x:c r="H65" s="12"/>
      <x:c r="I65" s="11"/>
      <x:c r="J65" s="11"/>
      <x:c r="K65" s="11"/>
      <x:c r="L65" s="11"/>
      <x:c r="M65" s="11"/>
      <x:c r="N65" s="15"/>
      <x:c r="O65" s="14"/>
      <x:c r="P65" s="11"/>
    </x:row>
    <x:row r="66" ht="60" customHeight="1">
      <x:c r="A66" s="11"/>
      <x:c r="B66" s="11"/>
      <x:c r="C66" s="11"/>
      <x:c r="D66" s="11"/>
      <x:c r="E66" s="11"/>
      <x:c r="F66" s="15"/>
      <x:c r="G66" s="16"/>
      <x:c r="H66" s="12"/>
      <x:c r="I66" s="11"/>
      <x:c r="J66" s="11"/>
      <x:c r="K66" s="11"/>
      <x:c r="L66" s="11"/>
      <x:c r="M66" s="11"/>
      <x:c r="N66" s="15"/>
      <x:c r="O66" s="14"/>
      <x:c r="P66" s="11"/>
    </x:row>
    <x:row r="67" ht="60" customHeight="1">
      <x:c r="A67" s="11"/>
      <x:c r="B67" s="11"/>
      <x:c r="C67" s="11"/>
      <x:c r="D67" s="11"/>
      <x:c r="E67" s="11"/>
      <x:c r="F67" s="15"/>
      <x:c r="G67" s="16"/>
      <x:c r="H67" s="12"/>
      <x:c r="I67" s="11"/>
      <x:c r="J67" s="11"/>
      <x:c r="K67" s="11"/>
      <x:c r="L67" s="11"/>
      <x:c r="M67" s="11"/>
      <x:c r="N67" s="15"/>
      <x:c r="O67" s="14"/>
      <x:c r="P67" s="11"/>
    </x:row>
    <x:row r="68" ht="60" customHeight="1">
      <x:c r="A68" s="11"/>
      <x:c r="B68" s="11"/>
      <x:c r="C68" s="11"/>
      <x:c r="D68" s="11"/>
      <x:c r="E68" s="11"/>
      <x:c r="F68" s="15"/>
      <x:c r="G68" s="16"/>
      <x:c r="H68" s="12"/>
      <x:c r="I68" s="11"/>
      <x:c r="J68" s="11"/>
      <x:c r="K68" s="11"/>
      <x:c r="L68" s="11"/>
      <x:c r="M68" s="11"/>
      <x:c r="N68" s="15"/>
      <x:c r="O68" s="14"/>
      <x:c r="P68" s="11"/>
    </x:row>
    <x:row r="69" ht="60" customHeight="1">
      <x:c r="A69" s="11"/>
      <x:c r="B69" s="11"/>
      <x:c r="C69" s="11"/>
      <x:c r="D69" s="11"/>
      <x:c r="E69" s="11"/>
      <x:c r="F69" s="15"/>
      <x:c r="G69" s="16"/>
      <x:c r="H69" s="12"/>
      <x:c r="I69" s="11"/>
      <x:c r="J69" s="11"/>
      <x:c r="K69" s="11"/>
      <x:c r="L69" s="11"/>
      <x:c r="M69" s="11"/>
      <x:c r="N69" s="15"/>
      <x:c r="O69" s="14"/>
      <x:c r="P69" s="11"/>
    </x:row>
    <x:row r="70" ht="60" customHeight="1">
      <x:c r="A70" s="11"/>
      <x:c r="B70" s="11"/>
      <x:c r="C70" s="11"/>
      <x:c r="D70" s="11"/>
      <x:c r="E70" s="11"/>
      <x:c r="F70" s="15"/>
      <x:c r="G70" s="16"/>
      <x:c r="H70" s="12"/>
      <x:c r="I70" s="11"/>
      <x:c r="J70" s="11"/>
      <x:c r="K70" s="11"/>
      <x:c r="L70" s="11"/>
      <x:c r="M70" s="11"/>
      <x:c r="N70" s="15"/>
      <x:c r="O70" s="14"/>
      <x:c r="P70" s="11"/>
    </x:row>
    <x:row r="71" ht="60" customHeight="1">
      <x:c r="A71" s="11"/>
      <x:c r="B71" s="11"/>
      <x:c r="C71" s="11"/>
      <x:c r="D71" s="11"/>
      <x:c r="E71" s="11"/>
      <x:c r="F71" s="15"/>
      <x:c r="G71" s="16"/>
      <x:c r="H71" s="12"/>
      <x:c r="I71" s="11"/>
      <x:c r="J71" s="11"/>
      <x:c r="K71" s="11"/>
      <x:c r="L71" s="11"/>
      <x:c r="M71" s="11"/>
      <x:c r="N71" s="15"/>
      <x:c r="O71" s="14"/>
      <x:c r="P71" s="11"/>
    </x:row>
    <x:row r="72" ht="60" customHeight="1">
      <x:c r="A72" s="11"/>
      <x:c r="B72" s="11"/>
      <x:c r="C72" s="11"/>
      <x:c r="D72" s="11"/>
      <x:c r="E72" s="11"/>
      <x:c r="F72" s="15"/>
      <x:c r="G72" s="16"/>
      <x:c r="H72" s="12"/>
      <x:c r="I72" s="11"/>
      <x:c r="J72" s="11"/>
      <x:c r="K72" s="11"/>
      <x:c r="L72" s="11"/>
      <x:c r="M72" s="11"/>
      <x:c r="N72" s="15"/>
      <x:c r="O72" s="14"/>
      <x:c r="P72" s="11"/>
    </x:row>
    <x:row r="73" ht="60" customHeight="1">
      <x:c r="A73" s="11"/>
      <x:c r="B73" s="11"/>
      <x:c r="C73" s="11"/>
      <x:c r="D73" s="11"/>
      <x:c r="E73" s="11"/>
      <x:c r="F73" s="15"/>
      <x:c r="G73" s="16"/>
      <x:c r="H73" s="12"/>
      <x:c r="I73" s="11"/>
      <x:c r="J73" s="11"/>
      <x:c r="K73" s="11"/>
      <x:c r="L73" s="11"/>
      <x:c r="M73" s="11"/>
      <x:c r="N73" s="15"/>
      <x:c r="O73" s="14"/>
      <x:c r="P73" s="11"/>
    </x:row>
    <x:row r="74" ht="60" customHeight="1">
      <x:c r="A74" s="11"/>
      <x:c r="B74" s="11"/>
      <x:c r="C74" s="11"/>
      <x:c r="D74" s="11"/>
      <x:c r="E74" s="11"/>
      <x:c r="F74" s="15"/>
      <x:c r="G74" s="16"/>
      <x:c r="H74" s="12"/>
      <x:c r="I74" s="11"/>
      <x:c r="J74" s="11"/>
      <x:c r="K74" s="11"/>
      <x:c r="L74" s="11"/>
      <x:c r="M74" s="11"/>
      <x:c r="N74" s="15"/>
      <x:c r="O74" s="14"/>
      <x:c r="P74" s="11"/>
    </x:row>
    <x:row r="75" ht="60" customHeight="1">
      <x:c r="A75" s="11"/>
      <x:c r="B75" s="11"/>
      <x:c r="C75" s="11"/>
      <x:c r="D75" s="11"/>
      <x:c r="E75" s="11"/>
      <x:c r="F75" s="15"/>
      <x:c r="G75" s="16"/>
      <x:c r="H75" s="12"/>
      <x:c r="I75" s="11"/>
      <x:c r="J75" s="11"/>
      <x:c r="K75" s="11"/>
      <x:c r="L75" s="11"/>
      <x:c r="M75" s="11"/>
      <x:c r="N75" s="15"/>
      <x:c r="O75" s="14"/>
      <x:c r="P75" s="11"/>
    </x:row>
    <x:row r="76" ht="60" customHeight="1">
      <x:c r="A76" s="11"/>
      <x:c r="B76" s="11"/>
      <x:c r="C76" s="11"/>
      <x:c r="D76" s="11"/>
      <x:c r="E76" s="11"/>
      <x:c r="F76" s="15"/>
      <x:c r="G76" s="16"/>
      <x:c r="H76" s="12"/>
      <x:c r="I76" s="11"/>
      <x:c r="J76" s="11"/>
      <x:c r="K76" s="11"/>
      <x:c r="L76" s="11"/>
      <x:c r="M76" s="11"/>
      <x:c r="N76" s="15"/>
      <x:c r="O76" s="14"/>
      <x:c r="P76" s="11"/>
    </x:row>
    <x:row r="77" ht="60" customHeight="1">
      <x:c r="A77" s="11"/>
      <x:c r="B77" s="11"/>
      <x:c r="C77" s="11"/>
      <x:c r="D77" s="11"/>
      <x:c r="E77" s="11"/>
      <x:c r="F77" s="15"/>
      <x:c r="G77" s="16"/>
      <x:c r="H77" s="12"/>
      <x:c r="I77" s="11"/>
      <x:c r="J77" s="11"/>
      <x:c r="K77" s="11"/>
      <x:c r="L77" s="11"/>
      <x:c r="M77" s="11"/>
      <x:c r="N77" s="15"/>
      <x:c r="O77" s="14"/>
      <x:c r="P77" s="11"/>
    </x:row>
    <x:row r="78" ht="60" customHeight="1">
      <x:c r="A78" s="11"/>
      <x:c r="B78" s="11"/>
      <x:c r="C78" s="11"/>
      <x:c r="D78" s="11"/>
      <x:c r="E78" s="11"/>
      <x:c r="F78" s="15"/>
      <x:c r="G78" s="16"/>
      <x:c r="H78" s="12"/>
      <x:c r="I78" s="11"/>
      <x:c r="J78" s="11"/>
      <x:c r="K78" s="11"/>
      <x:c r="L78" s="11"/>
      <x:c r="M78" s="11"/>
      <x:c r="N78" s="15"/>
      <x:c r="O78" s="14"/>
      <x:c r="P78" s="11"/>
    </x:row>
    <x:row r="79" ht="60" customHeight="1">
      <x:c r="A79" s="11"/>
      <x:c r="B79" s="11"/>
      <x:c r="C79" s="11"/>
      <x:c r="D79" s="11"/>
      <x:c r="E79" s="11"/>
      <x:c r="F79" s="15"/>
      <x:c r="G79" s="16"/>
      <x:c r="H79" s="12"/>
      <x:c r="I79" s="11"/>
      <x:c r="J79" s="11"/>
      <x:c r="K79" s="11"/>
      <x:c r="L79" s="11"/>
      <x:c r="M79" s="11"/>
      <x:c r="N79" s="15"/>
      <x:c r="O79" s="14"/>
      <x:c r="P79" s="11"/>
    </x:row>
    <x:row r="80" ht="60" customHeight="1">
      <x:c r="A80" s="11"/>
      <x:c r="B80" s="11"/>
      <x:c r="C80" s="11"/>
      <x:c r="D80" s="11"/>
      <x:c r="E80" s="11"/>
      <x:c r="F80" s="15"/>
      <x:c r="G80" s="16"/>
      <x:c r="H80" s="12"/>
      <x:c r="I80" s="11"/>
      <x:c r="J80" s="11"/>
      <x:c r="K80" s="11"/>
      <x:c r="L80" s="11"/>
      <x:c r="M80" s="11"/>
      <x:c r="N80" s="15"/>
      <x:c r="O80" s="14"/>
      <x:c r="P80" s="11"/>
    </x:row>
    <x:row r="81" ht="60" customHeight="1">
      <x:c r="A81" s="11"/>
      <x:c r="B81" s="11"/>
      <x:c r="C81" s="11"/>
      <x:c r="D81" s="11"/>
      <x:c r="E81" s="11"/>
      <x:c r="F81" s="15"/>
      <x:c r="G81" s="16"/>
      <x:c r="H81" s="12"/>
      <x:c r="I81" s="11"/>
      <x:c r="J81" s="11"/>
      <x:c r="K81" s="11"/>
      <x:c r="L81" s="11"/>
      <x:c r="M81" s="11"/>
      <x:c r="N81" s="15"/>
      <x:c r="O81" s="14"/>
      <x:c r="P81" s="11"/>
    </x:row>
    <x:row r="82" ht="60" customHeight="1">
      <x:c r="A82" s="11"/>
      <x:c r="B82" s="11"/>
      <x:c r="C82" s="11"/>
      <x:c r="D82" s="11"/>
      <x:c r="E82" s="11"/>
      <x:c r="F82" s="15"/>
      <x:c r="G82" s="16"/>
      <x:c r="H82" s="12"/>
      <x:c r="I82" s="11"/>
      <x:c r="J82" s="11"/>
      <x:c r="K82" s="11"/>
      <x:c r="L82" s="11"/>
      <x:c r="M82" s="11"/>
      <x:c r="N82" s="15"/>
      <x:c r="O82" s="14"/>
      <x:c r="P82" s="11"/>
    </x:row>
    <x:row r="83" ht="60" customHeight="1">
      <x:c r="A83" s="11"/>
      <x:c r="B83" s="11"/>
      <x:c r="C83" s="11"/>
      <x:c r="D83" s="11"/>
      <x:c r="E83" s="11"/>
      <x:c r="F83" s="15"/>
      <x:c r="G83" s="16"/>
      <x:c r="H83" s="12"/>
      <x:c r="I83" s="11"/>
      <x:c r="J83" s="11"/>
      <x:c r="K83" s="11"/>
      <x:c r="L83" s="11"/>
      <x:c r="M83" s="11"/>
      <x:c r="N83" s="15"/>
      <x:c r="O83" s="14"/>
      <x:c r="P83" s="11"/>
    </x:row>
    <x:row r="84" ht="60" customHeight="1">
      <x:c r="A84" s="11"/>
      <x:c r="B84" s="11"/>
      <x:c r="C84" s="11"/>
      <x:c r="D84" s="11"/>
      <x:c r="E84" s="11"/>
      <x:c r="F84" s="15"/>
      <x:c r="G84" s="16"/>
      <x:c r="H84" s="12"/>
      <x:c r="I84" s="11"/>
      <x:c r="J84" s="11"/>
      <x:c r="K84" s="11"/>
      <x:c r="L84" s="11"/>
      <x:c r="M84" s="11"/>
      <x:c r="N84" s="15"/>
      <x:c r="O84" s="14"/>
      <x:c r="P84" s="11"/>
    </x:row>
    <x:row r="85" ht="60" customHeight="1">
      <x:c r="A85" s="11"/>
      <x:c r="B85" s="11"/>
      <x:c r="C85" s="11"/>
      <x:c r="D85" s="11"/>
      <x:c r="E85" s="11"/>
      <x:c r="F85" s="15"/>
      <x:c r="G85" s="16"/>
      <x:c r="H85" s="12"/>
      <x:c r="I85" s="11"/>
      <x:c r="J85" s="11"/>
      <x:c r="K85" s="11"/>
      <x:c r="L85" s="11"/>
      <x:c r="M85" s="11"/>
      <x:c r="N85" s="15"/>
      <x:c r="O85" s="14"/>
      <x:c r="P85" s="11"/>
    </x:row>
    <x:row r="86" ht="60" customHeight="1">
      <x:c r="A86" s="11"/>
      <x:c r="B86" s="11"/>
      <x:c r="C86" s="11"/>
      <x:c r="D86" s="11"/>
      <x:c r="E86" s="11"/>
      <x:c r="F86" s="15"/>
      <x:c r="G86" s="16"/>
      <x:c r="H86" s="12"/>
      <x:c r="I86" s="11"/>
      <x:c r="J86" s="11"/>
      <x:c r="K86" s="11"/>
      <x:c r="L86" s="11"/>
      <x:c r="M86" s="11"/>
      <x:c r="N86" s="15"/>
      <x:c r="O86" s="14"/>
      <x:c r="P86" s="11"/>
    </x:row>
    <x:row r="87" ht="60" customHeight="1">
      <x:c r="A87" s="11"/>
      <x:c r="B87" s="11"/>
      <x:c r="C87" s="11"/>
      <x:c r="D87" s="11"/>
      <x:c r="E87" s="11"/>
      <x:c r="F87" s="15"/>
      <x:c r="G87" s="16"/>
      <x:c r="H87" s="12"/>
      <x:c r="I87" s="11"/>
      <x:c r="J87" s="11"/>
      <x:c r="K87" s="11"/>
      <x:c r="L87" s="11"/>
      <x:c r="M87" s="11"/>
      <x:c r="N87" s="15"/>
      <x:c r="O87" s="14"/>
      <x:c r="P87" s="11"/>
    </x:row>
    <x:row r="88" ht="60" customHeight="1">
      <x:c r="A88" s="11"/>
      <x:c r="B88" s="11"/>
      <x:c r="C88" s="11"/>
      <x:c r="D88" s="11"/>
      <x:c r="E88" s="11"/>
      <x:c r="F88" s="15"/>
      <x:c r="G88" s="16"/>
      <x:c r="H88" s="12"/>
      <x:c r="I88" s="11"/>
      <x:c r="J88" s="11"/>
      <x:c r="K88" s="11"/>
      <x:c r="L88" s="11"/>
      <x:c r="M88" s="11"/>
      <x:c r="N88" s="15"/>
      <x:c r="O88" s="14"/>
      <x:c r="P88" s="11"/>
    </x:row>
    <x:row r="89" ht="60" customHeight="1">
      <x:c r="A89" s="11"/>
      <x:c r="B89" s="11"/>
      <x:c r="C89" s="11"/>
      <x:c r="D89" s="11"/>
      <x:c r="E89" s="11"/>
      <x:c r="F89" s="15"/>
      <x:c r="G89" s="16"/>
      <x:c r="H89" s="12"/>
      <x:c r="I89" s="11"/>
      <x:c r="J89" s="11"/>
      <x:c r="K89" s="11"/>
      <x:c r="L89" s="11"/>
      <x:c r="M89" s="11"/>
      <x:c r="N89" s="15"/>
      <x:c r="O89" s="14"/>
      <x:c r="P89" s="11"/>
    </x:row>
    <x:row r="90" ht="60" customHeight="1">
      <x:c r="A90" s="11"/>
      <x:c r="B90" s="11"/>
      <x:c r="C90" s="11"/>
      <x:c r="D90" s="11"/>
      <x:c r="E90" s="11"/>
      <x:c r="F90" s="15"/>
      <x:c r="G90" s="16"/>
      <x:c r="H90" s="12"/>
      <x:c r="I90" s="11"/>
      <x:c r="J90" s="11"/>
      <x:c r="K90" s="11"/>
      <x:c r="L90" s="11"/>
      <x:c r="M90" s="11"/>
      <x:c r="N90" s="15"/>
      <x:c r="O90" s="14"/>
      <x:c r="P90" s="11"/>
    </x:row>
    <x:row r="91" ht="60" customHeight="1">
      <x:c r="A91" s="11"/>
      <x:c r="B91" s="11"/>
      <x:c r="C91" s="11"/>
      <x:c r="D91" s="11"/>
      <x:c r="E91" s="11"/>
      <x:c r="F91" s="15"/>
      <x:c r="G91" s="16"/>
      <x:c r="H91" s="12"/>
      <x:c r="I91" s="11"/>
      <x:c r="J91" s="11"/>
      <x:c r="K91" s="11"/>
      <x:c r="L91" s="11"/>
      <x:c r="M91" s="11"/>
      <x:c r="N91" s="15"/>
      <x:c r="O91" s="14"/>
      <x:c r="P91" s="11"/>
    </x:row>
    <x:row r="92" ht="60" customHeight="1">
      <x:c r="A92" s="11"/>
      <x:c r="B92" s="11"/>
      <x:c r="C92" s="11"/>
      <x:c r="D92" s="11"/>
      <x:c r="E92" s="11"/>
      <x:c r="F92" s="15"/>
      <x:c r="G92" s="16"/>
      <x:c r="H92" s="12"/>
      <x:c r="I92" s="11"/>
      <x:c r="J92" s="11"/>
      <x:c r="K92" s="11"/>
      <x:c r="L92" s="11"/>
      <x:c r="M92" s="11"/>
      <x:c r="N92" s="15"/>
      <x:c r="O92" s="14"/>
      <x:c r="P92" s="11"/>
    </x:row>
    <x:row r="93" ht="60" customHeight="1">
      <x:c r="A93" s="11"/>
      <x:c r="B93" s="11"/>
      <x:c r="C93" s="11"/>
      <x:c r="D93" s="11"/>
      <x:c r="E93" s="11"/>
      <x:c r="F93" s="15"/>
      <x:c r="G93" s="16"/>
      <x:c r="H93" s="12"/>
      <x:c r="I93" s="11"/>
      <x:c r="J93" s="11"/>
      <x:c r="K93" s="11"/>
      <x:c r="L93" s="11"/>
      <x:c r="M93" s="11"/>
      <x:c r="N93" s="15"/>
      <x:c r="O93" s="14"/>
      <x:c r="P93" s="11"/>
    </x:row>
    <x:row r="94" ht="60" customHeight="1">
      <x:c r="A94" s="11"/>
      <x:c r="B94" s="11"/>
      <x:c r="C94" s="11"/>
      <x:c r="D94" s="11"/>
      <x:c r="E94" s="11"/>
      <x:c r="F94" s="15"/>
      <x:c r="G94" s="16"/>
      <x:c r="H94" s="12"/>
      <x:c r="I94" s="11"/>
      <x:c r="J94" s="11"/>
      <x:c r="K94" s="11"/>
      <x:c r="L94" s="11"/>
      <x:c r="M94" s="11"/>
      <x:c r="N94" s="15"/>
      <x:c r="O94" s="14"/>
      <x:c r="P94" s="11"/>
    </x:row>
    <x:row r="95" ht="60" customHeight="1">
      <x:c r="A95" s="11"/>
      <x:c r="B95" s="11"/>
      <x:c r="C95" s="11"/>
      <x:c r="D95" s="11"/>
      <x:c r="E95" s="11"/>
      <x:c r="F95" s="15"/>
      <x:c r="G95" s="16"/>
      <x:c r="H95" s="12"/>
      <x:c r="I95" s="11"/>
      <x:c r="J95" s="11"/>
      <x:c r="K95" s="11"/>
      <x:c r="L95" s="11"/>
      <x:c r="M95" s="11"/>
      <x:c r="N95" s="15"/>
      <x:c r="O95" s="14"/>
      <x:c r="P95" s="11"/>
    </x:row>
    <x:row r="96" ht="60" customHeight="1">
      <x:c r="A96" s="11"/>
      <x:c r="B96" s="11"/>
      <x:c r="C96" s="11"/>
      <x:c r="D96" s="11"/>
      <x:c r="E96" s="11"/>
      <x:c r="F96" s="15"/>
      <x:c r="G96" s="16"/>
      <x:c r="H96" s="12"/>
      <x:c r="I96" s="11"/>
      <x:c r="J96" s="11"/>
      <x:c r="K96" s="11"/>
      <x:c r="L96" s="11"/>
      <x:c r="M96" s="11"/>
      <x:c r="N96" s="15"/>
      <x:c r="O96" s="14"/>
      <x:c r="P96" s="11"/>
    </x:row>
    <x:row r="97" ht="60" customHeight="1">
      <x:c r="A97" s="11"/>
      <x:c r="B97" s="11"/>
      <x:c r="C97" s="11"/>
      <x:c r="D97" s="11"/>
      <x:c r="E97" s="11"/>
      <x:c r="F97" s="15"/>
      <x:c r="G97" s="16"/>
      <x:c r="H97" s="12"/>
      <x:c r="I97" s="11"/>
      <x:c r="J97" s="11"/>
      <x:c r="K97" s="11"/>
      <x:c r="L97" s="11"/>
      <x:c r="M97" s="11"/>
      <x:c r="N97" s="15"/>
      <x:c r="O97" s="14"/>
      <x:c r="P97" s="11"/>
    </x:row>
    <x:row r="98" ht="60" customHeight="1">
      <x:c r="A98" s="11"/>
      <x:c r="B98" s="11"/>
      <x:c r="C98" s="11"/>
      <x:c r="D98" s="11"/>
      <x:c r="E98" s="11"/>
      <x:c r="F98" s="15"/>
      <x:c r="G98" s="16"/>
      <x:c r="H98" s="12"/>
      <x:c r="I98" s="11"/>
      <x:c r="J98" s="11"/>
      <x:c r="K98" s="11"/>
      <x:c r="L98" s="11"/>
      <x:c r="M98" s="11"/>
      <x:c r="N98" s="15"/>
      <x:c r="O98" s="14"/>
      <x:c r="P98" s="11"/>
    </x:row>
    <x:row r="99" ht="60" customHeight="1">
      <x:c r="A99" s="11"/>
      <x:c r="B99" s="11"/>
      <x:c r="C99" s="11"/>
      <x:c r="D99" s="11"/>
      <x:c r="E99" s="11"/>
      <x:c r="F99" s="15"/>
      <x:c r="G99" s="16"/>
      <x:c r="H99" s="12"/>
      <x:c r="I99" s="11"/>
      <x:c r="J99" s="11"/>
      <x:c r="K99" s="11"/>
      <x:c r="L99" s="11"/>
      <x:c r="M99" s="11"/>
      <x:c r="N99" s="15"/>
      <x:c r="O99" s="14"/>
      <x:c r="P99" s="11"/>
    </x:row>
    <x:row r="100" ht="60" customHeight="1">
      <x:c r="A100" s="11"/>
      <x:c r="B100" s="11"/>
      <x:c r="C100" s="11"/>
      <x:c r="D100" s="11"/>
      <x:c r="E100" s="11"/>
      <x:c r="F100" s="15"/>
      <x:c r="G100" s="16"/>
      <x:c r="H100" s="12"/>
      <x:c r="I100" s="11"/>
      <x:c r="J100" s="11"/>
      <x:c r="K100" s="11"/>
      <x:c r="L100" s="11"/>
      <x:c r="M100" s="11"/>
      <x:c r="N100" s="15"/>
      <x:c r="O100" s="14"/>
      <x:c r="P100" s="11"/>
    </x:row>
    <x:row r="101" ht="60" customHeight="1">
      <x:c r="A101" s="11"/>
      <x:c r="B101" s="11"/>
      <x:c r="C101" s="11"/>
      <x:c r="D101" s="11"/>
      <x:c r="E101" s="11"/>
      <x:c r="F101" s="15"/>
      <x:c r="G101" s="16"/>
      <x:c r="H101" s="12"/>
      <x:c r="I101" s="11"/>
      <x:c r="J101" s="11"/>
      <x:c r="K101" s="11"/>
      <x:c r="L101" s="11"/>
      <x:c r="M101" s="11"/>
      <x:c r="N101" s="15"/>
      <x:c r="O101" s="14"/>
      <x:c r="P101" s="11"/>
    </x:row>
    <x:row r="102" ht="60" customHeight="1">
      <x:c r="A102" s="11"/>
      <x:c r="B102" s="11"/>
      <x:c r="C102" s="11"/>
      <x:c r="D102" s="11"/>
      <x:c r="E102" s="11"/>
      <x:c r="F102" s="15"/>
      <x:c r="G102" s="16"/>
      <x:c r="H102" s="12"/>
      <x:c r="I102" s="11"/>
      <x:c r="J102" s="11"/>
      <x:c r="K102" s="11"/>
      <x:c r="L102" s="11"/>
      <x:c r="M102" s="11"/>
      <x:c r="N102" s="15"/>
      <x:c r="O102" s="14"/>
      <x:c r="P102" s="11"/>
    </x:row>
    <x:row r="103" ht="60" customHeight="1">
      <x:c r="A103" s="11"/>
      <x:c r="B103" s="11"/>
      <x:c r="C103" s="11"/>
      <x:c r="D103" s="11"/>
      <x:c r="E103" s="11"/>
      <x:c r="F103" s="15"/>
      <x:c r="G103" s="16"/>
      <x:c r="H103" s="12"/>
      <x:c r="I103" s="11"/>
      <x:c r="J103" s="11"/>
      <x:c r="K103" s="11"/>
      <x:c r="L103" s="11"/>
      <x:c r="M103" s="11"/>
      <x:c r="N103" s="15"/>
      <x:c r="O103" s="14"/>
      <x:c r="P103" s="11"/>
    </x:row>
    <x:row r="104" ht="60" customHeight="1">
      <x:c r="A104" s="11"/>
      <x:c r="B104" s="11"/>
      <x:c r="C104" s="11"/>
      <x:c r="D104" s="11"/>
      <x:c r="E104" s="11"/>
      <x:c r="F104" s="15"/>
      <x:c r="G104" s="16"/>
      <x:c r="H104" s="12"/>
      <x:c r="I104" s="11"/>
      <x:c r="J104" s="11"/>
      <x:c r="K104" s="11"/>
      <x:c r="L104" s="11"/>
      <x:c r="M104" s="11"/>
      <x:c r="N104" s="15"/>
      <x:c r="O104" s="14"/>
      <x:c r="P104" s="11"/>
    </x:row>
    <x:row r="105" ht="60" customHeight="1">
      <x:c r="A105" s="11"/>
      <x:c r="B105" s="11"/>
      <x:c r="C105" s="11"/>
      <x:c r="D105" s="11"/>
      <x:c r="E105" s="11"/>
      <x:c r="F105" s="15"/>
      <x:c r="G105" s="16"/>
      <x:c r="H105" s="12"/>
      <x:c r="I105" s="11"/>
      <x:c r="J105" s="11"/>
      <x:c r="K105" s="11"/>
      <x:c r="L105" s="11"/>
      <x:c r="M105" s="11"/>
      <x:c r="N105" s="15"/>
      <x:c r="O105" s="14"/>
      <x:c r="P105" s="11"/>
    </x:row>
    <x:row r="106" ht="60" customHeight="1">
      <x:c r="A106" s="11"/>
      <x:c r="B106" s="11"/>
      <x:c r="C106" s="11"/>
      <x:c r="D106" s="11"/>
      <x:c r="E106" s="11"/>
      <x:c r="F106" s="15"/>
      <x:c r="G106" s="16"/>
      <x:c r="H106" s="12"/>
      <x:c r="I106" s="11"/>
      <x:c r="J106" s="11"/>
      <x:c r="K106" s="11"/>
      <x:c r="L106" s="11"/>
      <x:c r="M106" s="11"/>
      <x:c r="N106" s="15"/>
      <x:c r="O106" s="14"/>
      <x:c r="P106" s="11"/>
    </x:row>
    <x:row r="107" ht="60" customHeight="1">
      <x:c r="A107" s="11"/>
      <x:c r="B107" s="11"/>
      <x:c r="C107" s="11"/>
      <x:c r="D107" s="11"/>
      <x:c r="E107" s="11"/>
      <x:c r="F107" s="15"/>
      <x:c r="G107" s="16"/>
      <x:c r="H107" s="12"/>
      <x:c r="I107" s="11"/>
      <x:c r="J107" s="11"/>
      <x:c r="K107" s="11"/>
      <x:c r="L107" s="11"/>
      <x:c r="M107" s="11"/>
      <x:c r="N107" s="15"/>
      <x:c r="O107" s="14"/>
      <x:c r="P107" s="11"/>
    </x:row>
    <x:row r="108" ht="60" customHeight="1">
      <x:c r="A108" s="11"/>
      <x:c r="B108" s="11"/>
      <x:c r="C108" s="11"/>
      <x:c r="D108" s="11"/>
      <x:c r="E108" s="11"/>
      <x:c r="F108" s="15"/>
      <x:c r="G108" s="16"/>
      <x:c r="H108" s="12"/>
      <x:c r="I108" s="11"/>
      <x:c r="J108" s="11"/>
      <x:c r="K108" s="11"/>
      <x:c r="L108" s="11"/>
      <x:c r="M108" s="11"/>
      <x:c r="N108" s="15"/>
      <x:c r="O108" s="14"/>
      <x:c r="P108" s="11"/>
    </x:row>
    <x:row r="109" ht="60" customHeight="1">
      <x:c r="A109" s="11"/>
      <x:c r="B109" s="11"/>
      <x:c r="C109" s="11"/>
      <x:c r="D109" s="11"/>
      <x:c r="E109" s="11"/>
      <x:c r="F109" s="15"/>
      <x:c r="G109" s="16"/>
      <x:c r="H109" s="12"/>
      <x:c r="I109" s="11"/>
      <x:c r="J109" s="11"/>
      <x:c r="K109" s="11"/>
      <x:c r="L109" s="11"/>
      <x:c r="M109" s="11"/>
      <x:c r="N109" s="15"/>
      <x:c r="O109" s="14"/>
      <x:c r="P109" s="11"/>
    </x:row>
    <x:row r="110" ht="60" customHeight="1">
      <x:c r="A110" s="11"/>
      <x:c r="B110" s="11"/>
      <x:c r="C110" s="11"/>
      <x:c r="D110" s="11"/>
      <x:c r="E110" s="11"/>
      <x:c r="F110" s="15"/>
      <x:c r="G110" s="16"/>
      <x:c r="H110" s="12"/>
      <x:c r="I110" s="11"/>
      <x:c r="J110" s="11"/>
      <x:c r="K110" s="11"/>
      <x:c r="L110" s="11"/>
      <x:c r="M110" s="11"/>
      <x:c r="N110" s="15"/>
      <x:c r="O110" s="14"/>
      <x:c r="P110" s="11"/>
    </x:row>
    <x:row r="111" ht="60" customHeight="1">
      <x:c r="A111" s="11"/>
      <x:c r="B111" s="11"/>
      <x:c r="C111" s="11"/>
      <x:c r="D111" s="11"/>
      <x:c r="E111" s="11"/>
      <x:c r="F111" s="15"/>
      <x:c r="G111" s="16"/>
      <x:c r="H111" s="12"/>
      <x:c r="I111" s="11"/>
      <x:c r="J111" s="11"/>
      <x:c r="K111" s="11"/>
      <x:c r="L111" s="11"/>
      <x:c r="M111" s="11"/>
      <x:c r="N111" s="15"/>
      <x:c r="O111" s="14"/>
      <x:c r="P111" s="11"/>
    </x:row>
    <x:row r="112" ht="60" customHeight="1">
      <x:c r="A112" s="11"/>
      <x:c r="B112" s="11"/>
      <x:c r="C112" s="11"/>
      <x:c r="D112" s="11"/>
      <x:c r="E112" s="11"/>
      <x:c r="F112" s="15"/>
      <x:c r="G112" s="16"/>
      <x:c r="H112" s="12"/>
      <x:c r="I112" s="11"/>
      <x:c r="J112" s="11"/>
      <x:c r="K112" s="11"/>
      <x:c r="L112" s="11"/>
      <x:c r="M112" s="11"/>
      <x:c r="N112" s="15"/>
      <x:c r="O112" s="14"/>
      <x:c r="P112" s="11"/>
    </x:row>
    <x:row r="113" ht="60" customHeight="1">
      <x:c r="A113" s="11"/>
      <x:c r="B113" s="11"/>
      <x:c r="C113" s="11"/>
      <x:c r="D113" s="11"/>
      <x:c r="E113" s="11"/>
      <x:c r="F113" s="15"/>
      <x:c r="G113" s="16"/>
      <x:c r="H113" s="12"/>
      <x:c r="I113" s="11"/>
      <x:c r="J113" s="11"/>
      <x:c r="K113" s="11"/>
      <x:c r="L113" s="11"/>
      <x:c r="M113" s="11"/>
      <x:c r="N113" s="15"/>
      <x:c r="O113" s="14"/>
      <x:c r="P113" s="11"/>
    </x:row>
    <x:row r="114" ht="60" customHeight="1">
      <x:c r="A114" s="11"/>
      <x:c r="B114" s="11"/>
      <x:c r="C114" s="11"/>
      <x:c r="D114" s="11"/>
      <x:c r="E114" s="11"/>
      <x:c r="F114" s="15"/>
      <x:c r="G114" s="16"/>
      <x:c r="H114" s="12"/>
      <x:c r="I114" s="11"/>
      <x:c r="J114" s="11"/>
      <x:c r="K114" s="11"/>
      <x:c r="L114" s="11"/>
      <x:c r="M114" s="11"/>
      <x:c r="N114" s="15"/>
      <x:c r="O114" s="14"/>
      <x:c r="P114" s="11"/>
    </x:row>
    <x:row r="115" ht="60" customHeight="1">
      <x:c r="A115" s="11"/>
      <x:c r="B115" s="11"/>
      <x:c r="C115" s="11"/>
      <x:c r="D115" s="11"/>
      <x:c r="E115" s="11"/>
      <x:c r="F115" s="15"/>
      <x:c r="G115" s="16"/>
      <x:c r="H115" s="12"/>
      <x:c r="I115" s="11"/>
      <x:c r="J115" s="11"/>
      <x:c r="K115" s="11"/>
      <x:c r="L115" s="11"/>
      <x:c r="M115" s="11"/>
      <x:c r="N115" s="15"/>
      <x:c r="O115" s="14"/>
      <x:c r="P115" s="11"/>
    </x:row>
    <x:row r="116" ht="60" customHeight="1">
      <x:c r="A116" s="11"/>
      <x:c r="B116" s="11"/>
      <x:c r="C116" s="11"/>
      <x:c r="D116" s="11"/>
      <x:c r="E116" s="11"/>
      <x:c r="F116" s="15"/>
      <x:c r="G116" s="16"/>
      <x:c r="H116" s="12"/>
      <x:c r="I116" s="11"/>
      <x:c r="J116" s="11"/>
      <x:c r="K116" s="11"/>
      <x:c r="L116" s="11"/>
      <x:c r="M116" s="11"/>
      <x:c r="N116" s="15"/>
      <x:c r="O116" s="14"/>
      <x:c r="P116" s="11"/>
    </x:row>
    <x:row r="117" ht="60" customHeight="1">
      <x:c r="A117" s="11"/>
      <x:c r="B117" s="11"/>
      <x:c r="C117" s="11"/>
      <x:c r="D117" s="11"/>
      <x:c r="E117" s="11"/>
      <x:c r="F117" s="15"/>
      <x:c r="G117" s="16"/>
      <x:c r="H117" s="12"/>
      <x:c r="I117" s="11"/>
      <x:c r="J117" s="11"/>
      <x:c r="K117" s="11"/>
      <x:c r="L117" s="11"/>
      <x:c r="M117" s="11"/>
      <x:c r="N117" s="15"/>
      <x:c r="O117" s="14"/>
      <x:c r="P117" s="11"/>
    </x:row>
    <x:row r="118" ht="60" customHeight="1">
      <x:c r="A118" s="11"/>
      <x:c r="B118" s="11"/>
      <x:c r="C118" s="11"/>
      <x:c r="D118" s="11"/>
      <x:c r="E118" s="11"/>
      <x:c r="F118" s="15"/>
      <x:c r="G118" s="16"/>
      <x:c r="H118" s="12"/>
      <x:c r="I118" s="11"/>
      <x:c r="J118" s="11"/>
      <x:c r="K118" s="11"/>
      <x:c r="L118" s="11"/>
      <x:c r="M118" s="11"/>
      <x:c r="N118" s="15"/>
      <x:c r="O118" s="14"/>
      <x:c r="P118" s="11"/>
    </x:row>
    <x:row r="119" ht="60" customHeight="1">
      <x:c r="A119" s="11"/>
      <x:c r="B119" s="11"/>
      <x:c r="C119" s="11"/>
      <x:c r="D119" s="11"/>
      <x:c r="E119" s="11"/>
      <x:c r="F119" s="15"/>
      <x:c r="G119" s="16"/>
      <x:c r="H119" s="12"/>
      <x:c r="I119" s="11"/>
      <x:c r="J119" s="11"/>
      <x:c r="K119" s="11"/>
      <x:c r="L119" s="11"/>
      <x:c r="M119" s="11"/>
      <x:c r="N119" s="15"/>
      <x:c r="O119" s="14"/>
      <x:c r="P119" s="11"/>
    </x:row>
    <x:row r="120" ht="60" customHeight="1">
      <x:c r="A120" s="11"/>
      <x:c r="B120" s="11"/>
      <x:c r="C120" s="11"/>
      <x:c r="D120" s="11"/>
      <x:c r="E120" s="11"/>
      <x:c r="F120" s="15"/>
      <x:c r="G120" s="16"/>
      <x:c r="H120" s="12"/>
      <x:c r="I120" s="11"/>
      <x:c r="J120" s="11"/>
      <x:c r="K120" s="11"/>
      <x:c r="L120" s="11"/>
      <x:c r="M120" s="11"/>
      <x:c r="N120" s="15"/>
      <x:c r="O120" s="14"/>
      <x:c r="P120" s="11"/>
    </x:row>
    <x:row r="121" ht="60" customHeight="1">
      <x:c r="A121" s="11"/>
      <x:c r="B121" s="11"/>
      <x:c r="C121" s="11"/>
      <x:c r="D121" s="11"/>
      <x:c r="E121" s="11"/>
      <x:c r="F121" s="15"/>
      <x:c r="G121" s="16"/>
      <x:c r="H121" s="12"/>
      <x:c r="I121" s="11"/>
      <x:c r="J121" s="11"/>
      <x:c r="K121" s="11"/>
      <x:c r="L121" s="11"/>
      <x:c r="M121" s="11"/>
      <x:c r="N121" s="15"/>
      <x:c r="O121" s="14"/>
      <x:c r="P121" s="11"/>
    </x:row>
    <x:row r="122" ht="60" customHeight="1">
      <x:c r="A122" s="11"/>
      <x:c r="B122" s="11"/>
      <x:c r="C122" s="11"/>
      <x:c r="D122" s="11"/>
      <x:c r="E122" s="11"/>
      <x:c r="F122" s="15"/>
      <x:c r="G122" s="16"/>
      <x:c r="H122" s="12"/>
      <x:c r="I122" s="11"/>
      <x:c r="J122" s="11"/>
      <x:c r="K122" s="11"/>
      <x:c r="L122" s="11"/>
      <x:c r="M122" s="11"/>
      <x:c r="N122" s="15"/>
      <x:c r="O122" s="14"/>
      <x:c r="P122" s="11"/>
    </x:row>
    <x:row r="123" ht="60" customHeight="1">
      <x:c r="A123" s="11"/>
      <x:c r="B123" s="11"/>
      <x:c r="C123" s="11"/>
      <x:c r="D123" s="11"/>
      <x:c r="E123" s="11"/>
      <x:c r="F123" s="15"/>
      <x:c r="G123" s="16"/>
      <x:c r="H123" s="12"/>
      <x:c r="I123" s="11"/>
      <x:c r="J123" s="11"/>
      <x:c r="K123" s="11"/>
      <x:c r="L123" s="11"/>
      <x:c r="M123" s="11"/>
      <x:c r="N123" s="15"/>
      <x:c r="O123" s="14"/>
      <x:c r="P123" s="11"/>
    </x:row>
    <x:row r="124" ht="60" customHeight="1">
      <x:c r="A124" s="11"/>
      <x:c r="B124" s="11"/>
      <x:c r="C124" s="11"/>
      <x:c r="D124" s="11"/>
      <x:c r="E124" s="11"/>
      <x:c r="F124" s="15"/>
      <x:c r="G124" s="16"/>
      <x:c r="H124" s="12"/>
      <x:c r="I124" s="11"/>
      <x:c r="J124" s="11"/>
      <x:c r="K124" s="11"/>
      <x:c r="L124" s="11"/>
      <x:c r="M124" s="11"/>
      <x:c r="N124" s="15"/>
      <x:c r="O124" s="14"/>
      <x:c r="P124" s="11"/>
    </x:row>
    <x:row r="125" ht="60" customHeight="1">
      <x:c r="A125" s="11"/>
      <x:c r="B125" s="11"/>
      <x:c r="C125" s="11"/>
      <x:c r="D125" s="11"/>
      <x:c r="E125" s="11"/>
      <x:c r="F125" s="15"/>
      <x:c r="G125" s="16"/>
      <x:c r="H125" s="12"/>
      <x:c r="I125" s="11"/>
      <x:c r="J125" s="11"/>
      <x:c r="K125" s="11"/>
      <x:c r="L125" s="11"/>
      <x:c r="M125" s="11"/>
      <x:c r="N125" s="15"/>
      <x:c r="O125" s="14"/>
      <x:c r="P125" s="11"/>
    </x:row>
    <x:row r="126" ht="60" customHeight="1">
      <x:c r="A126" s="11"/>
      <x:c r="B126" s="11"/>
      <x:c r="C126" s="11"/>
      <x:c r="D126" s="11"/>
      <x:c r="E126" s="11"/>
      <x:c r="F126" s="15"/>
      <x:c r="G126" s="16"/>
      <x:c r="H126" s="12"/>
      <x:c r="I126" s="11"/>
      <x:c r="J126" s="11"/>
      <x:c r="K126" s="11"/>
      <x:c r="L126" s="11"/>
      <x:c r="M126" s="11"/>
      <x:c r="N126" s="15"/>
      <x:c r="O126" s="14"/>
      <x:c r="P126" s="11"/>
    </x:row>
    <x:row r="127" ht="60" customHeight="1">
      <x:c r="A127" s="11"/>
      <x:c r="B127" s="11"/>
      <x:c r="C127" s="11"/>
      <x:c r="D127" s="11"/>
      <x:c r="E127" s="11"/>
      <x:c r="F127" s="15"/>
      <x:c r="G127" s="16"/>
      <x:c r="H127" s="12"/>
      <x:c r="I127" s="11"/>
      <x:c r="J127" s="11"/>
      <x:c r="K127" s="11"/>
      <x:c r="L127" s="11"/>
      <x:c r="M127" s="11"/>
      <x:c r="N127" s="15"/>
      <x:c r="O127" s="14"/>
      <x:c r="P127" s="11"/>
    </x:row>
    <x:row r="128" ht="60" customHeight="1">
      <x:c r="A128" s="11"/>
      <x:c r="B128" s="11"/>
      <x:c r="C128" s="11"/>
      <x:c r="D128" s="11"/>
      <x:c r="E128" s="11"/>
      <x:c r="F128" s="15"/>
      <x:c r="G128" s="16"/>
      <x:c r="H128" s="12"/>
      <x:c r="I128" s="11"/>
      <x:c r="J128" s="11"/>
      <x:c r="K128" s="11"/>
      <x:c r="L128" s="11"/>
      <x:c r="M128" s="11"/>
      <x:c r="N128" s="15"/>
      <x:c r="O128" s="14"/>
      <x:c r="P128" s="11"/>
    </x:row>
    <x:row r="129" ht="60" customHeight="1">
      <x:c r="A129" s="11"/>
      <x:c r="B129" s="11"/>
      <x:c r="C129" s="11"/>
      <x:c r="D129" s="11"/>
      <x:c r="E129" s="11"/>
      <x:c r="F129" s="15"/>
      <x:c r="G129" s="16"/>
      <x:c r="H129" s="12"/>
      <x:c r="I129" s="11"/>
      <x:c r="J129" s="11"/>
      <x:c r="K129" s="11"/>
      <x:c r="L129" s="11"/>
      <x:c r="M129" s="11"/>
      <x:c r="N129" s="15"/>
      <x:c r="O129" s="14"/>
      <x:c r="P129" s="11"/>
    </x:row>
    <x:row r="130" ht="60" customHeight="1">
      <x:c r="A130" s="11"/>
      <x:c r="B130" s="11"/>
      <x:c r="C130" s="11"/>
      <x:c r="D130" s="11"/>
      <x:c r="E130" s="11"/>
      <x:c r="F130" s="15"/>
      <x:c r="G130" s="16"/>
      <x:c r="H130" s="12"/>
      <x:c r="I130" s="11"/>
      <x:c r="J130" s="11"/>
      <x:c r="K130" s="11"/>
      <x:c r="L130" s="11"/>
      <x:c r="M130" s="11"/>
      <x:c r="N130" s="15"/>
      <x:c r="O130" s="14"/>
      <x:c r="P130" s="11"/>
    </x:row>
    <x:row r="131" ht="60" customHeight="1">
      <x:c r="A131" s="11"/>
      <x:c r="B131" s="11"/>
      <x:c r="C131" s="11"/>
      <x:c r="D131" s="11"/>
      <x:c r="E131" s="11"/>
      <x:c r="F131" s="15"/>
      <x:c r="G131" s="16"/>
      <x:c r="H131" s="12"/>
      <x:c r="I131" s="11"/>
      <x:c r="J131" s="11"/>
      <x:c r="K131" s="11"/>
      <x:c r="L131" s="11"/>
      <x:c r="M131" s="11"/>
      <x:c r="N131" s="15"/>
      <x:c r="O131" s="14"/>
      <x:c r="P131" s="11"/>
    </x:row>
    <x:row r="132" ht="60" customHeight="1">
      <x:c r="A132" s="11"/>
      <x:c r="B132" s="11"/>
      <x:c r="C132" s="11"/>
      <x:c r="D132" s="11"/>
      <x:c r="E132" s="11"/>
      <x:c r="F132" s="15"/>
      <x:c r="G132" s="16"/>
      <x:c r="H132" s="12"/>
      <x:c r="I132" s="11"/>
      <x:c r="J132" s="11"/>
      <x:c r="K132" s="11"/>
      <x:c r="L132" s="11"/>
      <x:c r="M132" s="11"/>
      <x:c r="N132" s="15"/>
      <x:c r="O132" s="14"/>
      <x:c r="P132" s="11"/>
    </x:row>
    <x:row r="133" ht="60" customHeight="1">
      <x:c r="A133" s="11"/>
      <x:c r="B133" s="11"/>
      <x:c r="C133" s="11"/>
      <x:c r="D133" s="11"/>
      <x:c r="E133" s="11"/>
      <x:c r="F133" s="15"/>
      <x:c r="G133" s="16"/>
      <x:c r="H133" s="12"/>
      <x:c r="I133" s="11"/>
      <x:c r="J133" s="11"/>
      <x:c r="K133" s="11"/>
      <x:c r="L133" s="11"/>
      <x:c r="M133" s="11"/>
      <x:c r="N133" s="15"/>
      <x:c r="O133" s="14"/>
      <x:c r="P133" s="11"/>
    </x:row>
    <x:row r="134" ht="60" customHeight="1">
      <x:c r="A134" s="11"/>
      <x:c r="B134" s="11"/>
      <x:c r="C134" s="11"/>
      <x:c r="D134" s="11"/>
      <x:c r="E134" s="11"/>
      <x:c r="F134" s="15"/>
      <x:c r="G134" s="16"/>
      <x:c r="H134" s="12"/>
      <x:c r="I134" s="11"/>
      <x:c r="J134" s="11"/>
      <x:c r="K134" s="11"/>
      <x:c r="L134" s="11"/>
      <x:c r="M134" s="11"/>
      <x:c r="N134" s="15"/>
      <x:c r="O134" s="14"/>
      <x:c r="P134" s="11"/>
    </x:row>
    <x:row r="135" ht="60" customHeight="1">
      <x:c r="A135" s="11"/>
      <x:c r="B135" s="11"/>
      <x:c r="C135" s="11"/>
      <x:c r="D135" s="11"/>
      <x:c r="E135" s="11"/>
      <x:c r="F135" s="15"/>
      <x:c r="G135" s="16"/>
      <x:c r="H135" s="12"/>
      <x:c r="I135" s="11"/>
      <x:c r="J135" s="11"/>
      <x:c r="K135" s="11"/>
      <x:c r="L135" s="11"/>
      <x:c r="M135" s="11"/>
      <x:c r="N135" s="15"/>
      <x:c r="O135" s="14"/>
      <x:c r="P135" s="11"/>
    </x:row>
    <x:row r="136" ht="60" customHeight="1">
      <x:c r="A136" s="11"/>
      <x:c r="B136" s="11"/>
      <x:c r="C136" s="11"/>
      <x:c r="D136" s="11"/>
      <x:c r="E136" s="11"/>
      <x:c r="F136" s="15"/>
      <x:c r="G136" s="16"/>
      <x:c r="H136" s="12"/>
      <x:c r="I136" s="11"/>
      <x:c r="J136" s="11"/>
      <x:c r="K136" s="11"/>
      <x:c r="L136" s="11"/>
      <x:c r="M136" s="11"/>
      <x:c r="N136" s="15"/>
      <x:c r="O136" s="14"/>
      <x:c r="P136" s="11"/>
    </x:row>
    <x:row r="137" ht="60" customHeight="1">
      <x:c r="A137" s="11"/>
      <x:c r="B137" s="11"/>
      <x:c r="C137" s="11"/>
      <x:c r="D137" s="11"/>
      <x:c r="E137" s="11"/>
      <x:c r="F137" s="15"/>
      <x:c r="G137" s="16"/>
      <x:c r="H137" s="12"/>
      <x:c r="I137" s="11"/>
      <x:c r="J137" s="11"/>
      <x:c r="K137" s="11"/>
      <x:c r="L137" s="11"/>
      <x:c r="M137" s="11"/>
      <x:c r="N137" s="15"/>
      <x:c r="O137" s="14"/>
      <x:c r="P137" s="11"/>
    </x:row>
    <x:row r="138" ht="60" customHeight="1">
      <x:c r="A138" s="11"/>
      <x:c r="B138" s="11"/>
      <x:c r="C138" s="11"/>
      <x:c r="D138" s="11"/>
      <x:c r="E138" s="11"/>
      <x:c r="F138" s="15"/>
      <x:c r="G138" s="16"/>
      <x:c r="H138" s="12"/>
      <x:c r="I138" s="11"/>
      <x:c r="J138" s="11"/>
      <x:c r="K138" s="11"/>
      <x:c r="L138" s="11"/>
      <x:c r="M138" s="11"/>
      <x:c r="N138" s="15"/>
      <x:c r="O138" s="14"/>
      <x:c r="P138" s="11"/>
    </x:row>
    <x:row r="139" ht="60" customHeight="1">
      <x:c r="A139" s="11"/>
      <x:c r="B139" s="11"/>
      <x:c r="C139" s="11"/>
      <x:c r="D139" s="11"/>
      <x:c r="E139" s="11"/>
      <x:c r="F139" s="15"/>
      <x:c r="G139" s="16"/>
      <x:c r="H139" s="12"/>
      <x:c r="I139" s="11"/>
      <x:c r="J139" s="11"/>
      <x:c r="K139" s="11"/>
      <x:c r="L139" s="11"/>
      <x:c r="M139" s="11"/>
      <x:c r="N139" s="15"/>
      <x:c r="O139" s="14"/>
      <x:c r="P139" s="11"/>
    </x:row>
    <x:row r="140" ht="60" customHeight="1">
      <x:c r="A140" s="11"/>
      <x:c r="B140" s="11"/>
      <x:c r="C140" s="11"/>
      <x:c r="D140" s="11"/>
      <x:c r="E140" s="11"/>
      <x:c r="F140" s="15"/>
      <x:c r="G140" s="16"/>
      <x:c r="H140" s="12"/>
      <x:c r="I140" s="11"/>
      <x:c r="J140" s="11"/>
      <x:c r="K140" s="11"/>
      <x:c r="L140" s="11"/>
      <x:c r="M140" s="11"/>
      <x:c r="N140" s="15"/>
      <x:c r="O140" s="14"/>
      <x:c r="P140" s="11"/>
    </x:row>
    <x:row r="141" ht="60" customHeight="1">
      <x:c r="A141" s="11"/>
      <x:c r="B141" s="11"/>
      <x:c r="C141" s="11"/>
      <x:c r="D141" s="11"/>
      <x:c r="E141" s="11"/>
      <x:c r="F141" s="15"/>
      <x:c r="G141" s="16"/>
      <x:c r="H141" s="12"/>
      <x:c r="I141" s="11"/>
      <x:c r="J141" s="11"/>
      <x:c r="K141" s="11"/>
      <x:c r="L141" s="11"/>
      <x:c r="M141" s="11"/>
      <x:c r="N141" s="15"/>
      <x:c r="O141" s="14"/>
      <x:c r="P141" s="11"/>
    </x:row>
    <x:row r="142" ht="60" customHeight="1">
      <x:c r="A142" s="11"/>
      <x:c r="B142" s="11"/>
      <x:c r="C142" s="11"/>
      <x:c r="D142" s="11"/>
      <x:c r="E142" s="11"/>
      <x:c r="F142" s="15"/>
      <x:c r="G142" s="16"/>
      <x:c r="H142" s="12"/>
      <x:c r="I142" s="11"/>
      <x:c r="J142" s="11"/>
      <x:c r="K142" s="11"/>
      <x:c r="L142" s="11"/>
      <x:c r="M142" s="11"/>
      <x:c r="N142" s="15"/>
      <x:c r="O142" s="14"/>
      <x:c r="P142" s="11"/>
    </x:row>
    <x:row r="143" ht="60" customHeight="1">
      <x:c r="A143" s="11"/>
      <x:c r="B143" s="11"/>
      <x:c r="C143" s="11"/>
      <x:c r="D143" s="11"/>
      <x:c r="E143" s="11"/>
      <x:c r="F143" s="15"/>
      <x:c r="G143" s="16"/>
      <x:c r="H143" s="12"/>
      <x:c r="I143" s="11"/>
      <x:c r="J143" s="11"/>
      <x:c r="K143" s="11"/>
      <x:c r="L143" s="11"/>
      <x:c r="M143" s="11"/>
      <x:c r="N143" s="15"/>
      <x:c r="O143" s="14"/>
      <x:c r="P143" s="11"/>
    </x:row>
    <x:row r="144" ht="60" customHeight="1">
      <x:c r="A144" s="11"/>
      <x:c r="B144" s="11"/>
      <x:c r="C144" s="11"/>
      <x:c r="D144" s="11"/>
      <x:c r="E144" s="11"/>
      <x:c r="F144" s="15"/>
      <x:c r="G144" s="16"/>
      <x:c r="H144" s="12"/>
      <x:c r="I144" s="11"/>
      <x:c r="J144" s="11"/>
      <x:c r="K144" s="11"/>
      <x:c r="L144" s="11"/>
      <x:c r="M144" s="11"/>
      <x:c r="N144" s="15"/>
      <x:c r="O144" s="14"/>
      <x:c r="P144" s="11"/>
    </x:row>
    <x:row r="145" ht="60" customHeight="1">
      <x:c r="A145" s="11"/>
      <x:c r="B145" s="11"/>
      <x:c r="C145" s="11"/>
      <x:c r="D145" s="11"/>
      <x:c r="E145" s="11"/>
      <x:c r="F145" s="15"/>
      <x:c r="G145" s="16"/>
      <x:c r="H145" s="12"/>
      <x:c r="I145" s="11"/>
      <x:c r="J145" s="11"/>
      <x:c r="K145" s="11"/>
      <x:c r="L145" s="11"/>
      <x:c r="M145" s="11"/>
      <x:c r="N145" s="15"/>
      <x:c r="O145" s="14"/>
      <x:c r="P145" s="11"/>
    </x:row>
    <x:row r="146" ht="60" customHeight="1">
      <x:c r="A146" s="11"/>
      <x:c r="B146" s="11"/>
      <x:c r="C146" s="11"/>
      <x:c r="D146" s="11"/>
      <x:c r="E146" s="11"/>
      <x:c r="F146" s="15"/>
      <x:c r="G146" s="16"/>
      <x:c r="H146" s="12"/>
      <x:c r="I146" s="11"/>
      <x:c r="J146" s="11"/>
      <x:c r="K146" s="11"/>
      <x:c r="L146" s="11"/>
      <x:c r="M146" s="11"/>
      <x:c r="N146" s="15"/>
      <x:c r="O146" s="14"/>
      <x:c r="P146" s="11"/>
    </x:row>
    <x:row r="147" ht="60" customHeight="1">
      <x:c r="A147" s="11"/>
      <x:c r="B147" s="11"/>
      <x:c r="C147" s="11"/>
      <x:c r="D147" s="11"/>
      <x:c r="E147" s="11"/>
      <x:c r="F147" s="15"/>
      <x:c r="G147" s="16"/>
      <x:c r="H147" s="12"/>
      <x:c r="I147" s="11"/>
      <x:c r="J147" s="11"/>
      <x:c r="K147" s="11"/>
      <x:c r="L147" s="11"/>
      <x:c r="M147" s="11"/>
      <x:c r="N147" s="15"/>
      <x:c r="O147" s="14"/>
      <x:c r="P147" s="11"/>
    </x:row>
    <x:row r="148" ht="60" customHeight="1">
      <x:c r="A148" s="11"/>
      <x:c r="B148" s="11"/>
      <x:c r="C148" s="11"/>
      <x:c r="D148" s="11"/>
      <x:c r="E148" s="11"/>
      <x:c r="F148" s="15"/>
      <x:c r="G148" s="16"/>
      <x:c r="H148" s="12"/>
      <x:c r="I148" s="11"/>
      <x:c r="J148" s="11"/>
      <x:c r="K148" s="11"/>
      <x:c r="L148" s="11"/>
      <x:c r="M148" s="11"/>
      <x:c r="N148" s="15"/>
      <x:c r="O148" s="14"/>
      <x:c r="P148" s="11"/>
    </x:row>
    <x:row r="149" ht="60" customHeight="1">
      <x:c r="A149" s="11"/>
      <x:c r="B149" s="11"/>
      <x:c r="C149" s="11"/>
      <x:c r="D149" s="11"/>
      <x:c r="E149" s="11"/>
      <x:c r="F149" s="15"/>
      <x:c r="G149" s="16"/>
      <x:c r="H149" s="12"/>
      <x:c r="I149" s="11"/>
      <x:c r="J149" s="11"/>
      <x:c r="K149" s="11"/>
      <x:c r="L149" s="11"/>
      <x:c r="M149" s="11"/>
      <x:c r="N149" s="15"/>
      <x:c r="O149" s="14"/>
      <x:c r="P149" s="11"/>
    </x:row>
    <x:row r="150" ht="60" customHeight="1">
      <x:c r="A150" s="11"/>
      <x:c r="B150" s="11"/>
      <x:c r="C150" s="11"/>
      <x:c r="D150" s="11"/>
      <x:c r="E150" s="11"/>
      <x:c r="F150" s="15"/>
      <x:c r="G150" s="16"/>
      <x:c r="H150" s="12"/>
      <x:c r="I150" s="11"/>
      <x:c r="J150" s="11"/>
      <x:c r="K150" s="11"/>
      <x:c r="L150" s="11"/>
      <x:c r="M150" s="11"/>
      <x:c r="N150" s="15"/>
      <x:c r="O150" s="14"/>
      <x:c r="P150" s="11"/>
    </x:row>
    <x:row r="151" ht="60" customHeight="1">
      <x:c r="A151" s="11"/>
      <x:c r="B151" s="11"/>
      <x:c r="C151" s="11"/>
      <x:c r="D151" s="11"/>
      <x:c r="E151" s="11"/>
      <x:c r="F151" s="15"/>
      <x:c r="G151" s="16"/>
      <x:c r="H151" s="12"/>
      <x:c r="I151" s="11"/>
      <x:c r="J151" s="11"/>
      <x:c r="K151" s="11"/>
      <x:c r="L151" s="11"/>
      <x:c r="M151" s="11"/>
      <x:c r="N151" s="15"/>
      <x:c r="O151" s="14"/>
      <x:c r="P151" s="11"/>
    </x:row>
    <x:row r="152" ht="60" customHeight="1">
      <x:c r="A152" s="11"/>
      <x:c r="B152" s="11"/>
      <x:c r="C152" s="11"/>
      <x:c r="D152" s="11"/>
      <x:c r="E152" s="11"/>
      <x:c r="F152" s="15"/>
      <x:c r="G152" s="16"/>
      <x:c r="H152" s="12"/>
      <x:c r="I152" s="11"/>
      <x:c r="J152" s="11"/>
      <x:c r="K152" s="11"/>
      <x:c r="L152" s="11"/>
      <x:c r="M152" s="11"/>
      <x:c r="N152" s="15"/>
      <x:c r="O152" s="14"/>
      <x:c r="P152" s="11"/>
    </x:row>
    <x:row r="153" ht="60" customHeight="1">
      <x:c r="A153" s="11"/>
      <x:c r="B153" s="11"/>
      <x:c r="C153" s="11"/>
      <x:c r="D153" s="11"/>
      <x:c r="E153" s="11"/>
      <x:c r="F153" s="15"/>
      <x:c r="G153" s="16"/>
      <x:c r="H153" s="12"/>
      <x:c r="I153" s="11"/>
      <x:c r="J153" s="11"/>
      <x:c r="K153" s="11"/>
      <x:c r="L153" s="11"/>
      <x:c r="M153" s="11"/>
      <x:c r="N153" s="15"/>
      <x:c r="O153" s="14"/>
      <x:c r="P153" s="11"/>
    </x:row>
    <x:row r="154" ht="60" customHeight="1">
      <x:c r="A154" s="11"/>
      <x:c r="B154" s="11"/>
      <x:c r="C154" s="11"/>
      <x:c r="D154" s="11"/>
      <x:c r="E154" s="11"/>
      <x:c r="F154" s="15"/>
      <x:c r="G154" s="16"/>
      <x:c r="H154" s="12"/>
      <x:c r="I154" s="11"/>
      <x:c r="J154" s="11"/>
      <x:c r="K154" s="11"/>
      <x:c r="L154" s="11"/>
      <x:c r="M154" s="11"/>
      <x:c r="N154" s="15"/>
      <x:c r="O154" s="14"/>
      <x:c r="P154" s="11"/>
    </x:row>
    <x:row r="155" ht="60" customHeight="1">
      <x:c r="A155" s="11"/>
      <x:c r="B155" s="11"/>
      <x:c r="C155" s="11"/>
      <x:c r="D155" s="11"/>
      <x:c r="E155" s="11"/>
      <x:c r="F155" s="15"/>
      <x:c r="G155" s="16"/>
      <x:c r="H155" s="12"/>
      <x:c r="I155" s="11"/>
      <x:c r="J155" s="11"/>
      <x:c r="K155" s="11"/>
      <x:c r="L155" s="11"/>
      <x:c r="M155" s="11"/>
      <x:c r="N155" s="15"/>
      <x:c r="O155" s="14"/>
      <x:c r="P155" s="11"/>
    </x:row>
    <x:row r="156" ht="60" customHeight="1">
      <x:c r="A156" s="11"/>
      <x:c r="B156" s="11"/>
      <x:c r="C156" s="11"/>
      <x:c r="D156" s="11"/>
      <x:c r="E156" s="11"/>
      <x:c r="F156" s="15"/>
      <x:c r="G156" s="16"/>
      <x:c r="H156" s="12"/>
      <x:c r="I156" s="11"/>
      <x:c r="J156" s="11"/>
      <x:c r="K156" s="11"/>
      <x:c r="L156" s="11"/>
      <x:c r="M156" s="11"/>
      <x:c r="N156" s="15"/>
      <x:c r="O156" s="14"/>
      <x:c r="P156" s="11"/>
    </x:row>
    <x:row r="157" ht="60" customHeight="1">
      <x:c r="A157" s="11"/>
      <x:c r="B157" s="11"/>
      <x:c r="C157" s="11"/>
      <x:c r="D157" s="11"/>
      <x:c r="E157" s="11"/>
      <x:c r="F157" s="15"/>
      <x:c r="G157" s="16"/>
      <x:c r="H157" s="12"/>
      <x:c r="I157" s="11"/>
      <x:c r="J157" s="11"/>
      <x:c r="K157" s="11"/>
      <x:c r="L157" s="11"/>
      <x:c r="M157" s="11"/>
      <x:c r="N157" s="15"/>
      <x:c r="O157" s="14"/>
      <x:c r="P157" s="11"/>
    </x:row>
    <x:row r="158" ht="60" customHeight="1">
      <x:c r="A158" s="11"/>
      <x:c r="B158" s="11"/>
      <x:c r="C158" s="11"/>
      <x:c r="D158" s="11"/>
      <x:c r="E158" s="11"/>
      <x:c r="F158" s="15"/>
      <x:c r="G158" s="16"/>
      <x:c r="H158" s="12"/>
      <x:c r="I158" s="11"/>
      <x:c r="J158" s="11"/>
      <x:c r="K158" s="11"/>
      <x:c r="L158" s="11"/>
      <x:c r="M158" s="11"/>
      <x:c r="N158" s="15"/>
      <x:c r="O158" s="14"/>
      <x:c r="P158" s="11"/>
    </x:row>
    <x:row r="159" ht="60" customHeight="1">
      <x:c r="A159" s="11"/>
      <x:c r="B159" s="11"/>
      <x:c r="C159" s="11"/>
      <x:c r="D159" s="11"/>
      <x:c r="E159" s="11"/>
      <x:c r="F159" s="15"/>
      <x:c r="G159" s="16"/>
      <x:c r="H159" s="12"/>
      <x:c r="I159" s="11"/>
      <x:c r="J159" s="11"/>
      <x:c r="K159" s="11"/>
      <x:c r="L159" s="11"/>
      <x:c r="M159" s="11"/>
      <x:c r="N159" s="15"/>
      <x:c r="O159" s="14"/>
      <x:c r="P159" s="11"/>
    </x:row>
    <x:row r="160" ht="60" customHeight="1">
      <x:c r="A160" s="11"/>
      <x:c r="B160" s="11"/>
      <x:c r="C160" s="11"/>
      <x:c r="D160" s="11"/>
      <x:c r="E160" s="11"/>
      <x:c r="F160" s="15"/>
      <x:c r="G160" s="16"/>
      <x:c r="H160" s="12"/>
      <x:c r="I160" s="11"/>
      <x:c r="J160" s="11"/>
      <x:c r="K160" s="11"/>
      <x:c r="L160" s="11"/>
      <x:c r="M160" s="11"/>
      <x:c r="N160" s="15"/>
      <x:c r="O160" s="14"/>
      <x:c r="P160" s="11"/>
    </x:row>
    <x:row r="161" ht="60" customHeight="1">
      <x:c r="A161" s="11"/>
      <x:c r="B161" s="11"/>
      <x:c r="C161" s="11"/>
      <x:c r="D161" s="11"/>
      <x:c r="E161" s="11"/>
      <x:c r="F161" s="15"/>
      <x:c r="G161" s="16"/>
      <x:c r="H161" s="12"/>
      <x:c r="I161" s="11"/>
      <x:c r="J161" s="11"/>
      <x:c r="K161" s="11"/>
      <x:c r="L161" s="11"/>
      <x:c r="M161" s="11"/>
      <x:c r="N161" s="15"/>
      <x:c r="O161" s="14"/>
      <x:c r="P161" s="11"/>
    </x:row>
    <x:row r="162" ht="60" customHeight="1">
      <x:c r="A162" s="11"/>
      <x:c r="B162" s="11"/>
      <x:c r="C162" s="11"/>
      <x:c r="D162" s="11"/>
      <x:c r="E162" s="11"/>
      <x:c r="F162" s="15"/>
      <x:c r="G162" s="16"/>
      <x:c r="H162" s="12"/>
      <x:c r="I162" s="11"/>
      <x:c r="J162" s="11"/>
      <x:c r="K162" s="11"/>
      <x:c r="L162" s="11"/>
      <x:c r="M162" s="11"/>
      <x:c r="N162" s="15"/>
      <x:c r="O162" s="14"/>
      <x:c r="P162" s="11"/>
    </x:row>
    <x:row r="163" ht="60" customHeight="1">
      <x:c r="A163" s="11"/>
      <x:c r="B163" s="11"/>
      <x:c r="C163" s="11"/>
      <x:c r="D163" s="11"/>
      <x:c r="E163" s="11"/>
      <x:c r="F163" s="15"/>
      <x:c r="G163" s="16"/>
      <x:c r="H163" s="12"/>
      <x:c r="I163" s="11"/>
      <x:c r="J163" s="11"/>
      <x:c r="K163" s="11"/>
      <x:c r="L163" s="11"/>
      <x:c r="M163" s="11"/>
      <x:c r="N163" s="15"/>
      <x:c r="O163" s="14"/>
      <x:c r="P163" s="11"/>
    </x:row>
    <x:row r="164" ht="60" customHeight="1">
      <x:c r="A164" s="11"/>
      <x:c r="B164" s="11"/>
      <x:c r="C164" s="11"/>
      <x:c r="D164" s="11"/>
      <x:c r="E164" s="11"/>
      <x:c r="F164" s="15"/>
      <x:c r="G164" s="16"/>
      <x:c r="H164" s="12"/>
      <x:c r="I164" s="11"/>
      <x:c r="J164" s="11"/>
      <x:c r="K164" s="11"/>
      <x:c r="L164" s="11"/>
      <x:c r="M164" s="11"/>
      <x:c r="N164" s="15"/>
      <x:c r="O164" s="14"/>
      <x:c r="P164" s="11"/>
    </x:row>
    <x:row r="165" ht="60" customHeight="1">
      <x:c r="A165" s="11"/>
      <x:c r="B165" s="11"/>
      <x:c r="C165" s="11"/>
      <x:c r="D165" s="11"/>
      <x:c r="E165" s="11"/>
      <x:c r="F165" s="15"/>
      <x:c r="G165" s="16"/>
      <x:c r="H165" s="12"/>
      <x:c r="I165" s="11"/>
      <x:c r="J165" s="11"/>
      <x:c r="K165" s="11"/>
      <x:c r="L165" s="11"/>
      <x:c r="M165" s="11"/>
      <x:c r="N165" s="15"/>
      <x:c r="O165" s="14"/>
      <x:c r="P165" s="11"/>
    </x:row>
    <x:row r="166" ht="60" customHeight="1">
      <x:c r="A166" s="11"/>
      <x:c r="B166" s="11"/>
      <x:c r="C166" s="11"/>
      <x:c r="D166" s="11"/>
      <x:c r="E166" s="11"/>
      <x:c r="F166" s="15"/>
      <x:c r="G166" s="16"/>
      <x:c r="H166" s="12"/>
      <x:c r="I166" s="11"/>
      <x:c r="J166" s="11"/>
      <x:c r="K166" s="11"/>
      <x:c r="L166" s="11"/>
      <x:c r="M166" s="11"/>
      <x:c r="N166" s="15"/>
      <x:c r="O166" s="14"/>
      <x:c r="P166" s="11"/>
    </x:row>
    <x:row r="167" ht="60" customHeight="1">
      <x:c r="A167" s="11"/>
      <x:c r="B167" s="11"/>
      <x:c r="C167" s="11"/>
      <x:c r="D167" s="11"/>
      <x:c r="E167" s="11"/>
      <x:c r="F167" s="15"/>
      <x:c r="G167" s="16"/>
      <x:c r="H167" s="12"/>
      <x:c r="I167" s="11"/>
      <x:c r="J167" s="11"/>
      <x:c r="K167" s="11"/>
      <x:c r="L167" s="11"/>
      <x:c r="M167" s="11"/>
      <x:c r="N167" s="15"/>
      <x:c r="O167" s="14"/>
      <x:c r="P167" s="11"/>
    </x:row>
    <x:row r="168" ht="60" customHeight="1">
      <x:c r="A168" s="11"/>
      <x:c r="B168" s="11"/>
      <x:c r="C168" s="11"/>
      <x:c r="D168" s="11"/>
      <x:c r="E168" s="11"/>
      <x:c r="F168" s="15"/>
      <x:c r="G168" s="16"/>
      <x:c r="H168" s="12"/>
      <x:c r="I168" s="11"/>
      <x:c r="J168" s="11"/>
      <x:c r="K168" s="11"/>
      <x:c r="L168" s="11"/>
      <x:c r="M168" s="11"/>
      <x:c r="N168" s="15"/>
      <x:c r="O168" s="14"/>
      <x:c r="P168" s="11"/>
    </x:row>
    <x:row r="169" ht="60" customHeight="1">
      <x:c r="A169" s="11"/>
      <x:c r="B169" s="11"/>
      <x:c r="C169" s="11"/>
      <x:c r="D169" s="11"/>
      <x:c r="E169" s="11"/>
      <x:c r="F169" s="15"/>
      <x:c r="G169" s="16"/>
      <x:c r="H169" s="12"/>
      <x:c r="I169" s="11"/>
      <x:c r="J169" s="11"/>
      <x:c r="K169" s="11"/>
      <x:c r="L169" s="11"/>
      <x:c r="M169" s="11"/>
      <x:c r="N169" s="15"/>
      <x:c r="O169" s="14"/>
      <x:c r="P169" s="11"/>
    </x:row>
    <x:row r="170" ht="60" customHeight="1">
      <x:c r="A170" s="11"/>
      <x:c r="B170" s="11"/>
      <x:c r="C170" s="11"/>
      <x:c r="D170" s="11"/>
      <x:c r="E170" s="11"/>
      <x:c r="F170" s="15"/>
      <x:c r="G170" s="16"/>
      <x:c r="H170" s="12"/>
      <x:c r="I170" s="11"/>
      <x:c r="J170" s="11"/>
      <x:c r="K170" s="11"/>
      <x:c r="L170" s="11"/>
      <x:c r="M170" s="11"/>
      <x:c r="N170" s="15"/>
      <x:c r="O170" s="14"/>
      <x:c r="P170" s="11"/>
    </x:row>
    <x:row r="171" ht="60" customHeight="1">
      <x:c r="A171" s="11"/>
      <x:c r="B171" s="11"/>
      <x:c r="C171" s="11"/>
      <x:c r="D171" s="11"/>
      <x:c r="E171" s="11"/>
      <x:c r="F171" s="15"/>
      <x:c r="G171" s="16"/>
      <x:c r="H171" s="12"/>
      <x:c r="I171" s="11"/>
      <x:c r="J171" s="11"/>
      <x:c r="K171" s="11"/>
      <x:c r="L171" s="11"/>
      <x:c r="M171" s="11"/>
      <x:c r="N171" s="15"/>
      <x:c r="O171" s="14"/>
      <x:c r="P171" s="11"/>
    </x:row>
    <x:row r="172" ht="60" customHeight="1">
      <x:c r="A172" s="11"/>
      <x:c r="B172" s="11"/>
      <x:c r="C172" s="11"/>
      <x:c r="D172" s="11"/>
      <x:c r="E172" s="11"/>
      <x:c r="F172" s="15"/>
      <x:c r="G172" s="16"/>
      <x:c r="H172" s="12"/>
      <x:c r="I172" s="11"/>
      <x:c r="J172" s="11"/>
      <x:c r="K172" s="11"/>
      <x:c r="L172" s="11"/>
      <x:c r="M172" s="11"/>
      <x:c r="N172" s="15"/>
      <x:c r="O172" s="14"/>
      <x:c r="P172" s="11"/>
    </x:row>
    <x:row r="173" ht="60" customHeight="1">
      <x:c r="A173" s="11"/>
      <x:c r="B173" s="11"/>
      <x:c r="C173" s="11"/>
      <x:c r="D173" s="11"/>
      <x:c r="E173" s="11"/>
      <x:c r="F173" s="15"/>
      <x:c r="G173" s="16"/>
      <x:c r="H173" s="12"/>
      <x:c r="I173" s="11"/>
      <x:c r="J173" s="11"/>
      <x:c r="K173" s="11"/>
      <x:c r="L173" s="11"/>
      <x:c r="M173" s="11"/>
      <x:c r="N173" s="15"/>
      <x:c r="O173" s="14"/>
      <x:c r="P173" s="11"/>
    </x:row>
    <x:row r="174" ht="60" customHeight="1">
      <x:c r="A174" s="11"/>
      <x:c r="B174" s="11"/>
      <x:c r="C174" s="11"/>
      <x:c r="D174" s="11"/>
      <x:c r="E174" s="11"/>
      <x:c r="F174" s="15"/>
      <x:c r="G174" s="16"/>
      <x:c r="H174" s="12"/>
      <x:c r="I174" s="11"/>
      <x:c r="J174" s="11"/>
      <x:c r="K174" s="11"/>
      <x:c r="L174" s="11"/>
      <x:c r="M174" s="11"/>
      <x:c r="N174" s="15"/>
      <x:c r="O174" s="14"/>
      <x:c r="P174" s="11"/>
    </x:row>
    <x:row r="175" ht="60" customHeight="1">
      <x:c r="A175" s="11"/>
      <x:c r="B175" s="11"/>
      <x:c r="C175" s="11"/>
      <x:c r="D175" s="11"/>
      <x:c r="E175" s="11"/>
      <x:c r="F175" s="15"/>
      <x:c r="G175" s="16"/>
      <x:c r="H175" s="12"/>
      <x:c r="I175" s="11"/>
      <x:c r="J175" s="11"/>
      <x:c r="K175" s="11"/>
      <x:c r="L175" s="11"/>
      <x:c r="M175" s="11"/>
      <x:c r="N175" s="15"/>
      <x:c r="O175" s="14"/>
      <x:c r="P175" s="11"/>
    </x:row>
    <x:row r="176" ht="60" customHeight="1">
      <x:c r="A176" s="11"/>
      <x:c r="B176" s="11"/>
      <x:c r="C176" s="11"/>
      <x:c r="D176" s="11"/>
      <x:c r="E176" s="11"/>
      <x:c r="F176" s="15"/>
      <x:c r="G176" s="16"/>
      <x:c r="H176" s="12"/>
      <x:c r="I176" s="11"/>
      <x:c r="J176" s="11"/>
      <x:c r="K176" s="11"/>
      <x:c r="L176" s="11"/>
      <x:c r="M176" s="11"/>
      <x:c r="N176" s="15"/>
      <x:c r="O176" s="14"/>
      <x:c r="P176" s="11"/>
    </x:row>
    <x:row r="177" ht="60" customHeight="1">
      <x:c r="A177" s="11"/>
      <x:c r="B177" s="11"/>
      <x:c r="C177" s="11"/>
      <x:c r="D177" s="11"/>
      <x:c r="E177" s="11"/>
      <x:c r="F177" s="15"/>
      <x:c r="G177" s="16"/>
      <x:c r="H177" s="12"/>
      <x:c r="I177" s="11"/>
      <x:c r="J177" s="11"/>
      <x:c r="K177" s="11"/>
      <x:c r="L177" s="11"/>
      <x:c r="M177" s="11"/>
      <x:c r="N177" s="15"/>
      <x:c r="O177" s="14"/>
      <x:c r="P177" s="11"/>
    </x:row>
    <x:row r="178" ht="60" customHeight="1">
      <x:c r="A178" s="11"/>
      <x:c r="B178" s="11"/>
      <x:c r="C178" s="11"/>
      <x:c r="D178" s="11"/>
      <x:c r="E178" s="11"/>
      <x:c r="F178" s="15"/>
      <x:c r="G178" s="16"/>
      <x:c r="H178" s="12"/>
      <x:c r="I178" s="11"/>
      <x:c r="J178" s="11"/>
      <x:c r="K178" s="11"/>
      <x:c r="L178" s="11"/>
      <x:c r="M178" s="11"/>
      <x:c r="N178" s="15"/>
      <x:c r="O178" s="14"/>
      <x:c r="P178" s="11"/>
    </x:row>
    <x:row r="179" ht="60" customHeight="1">
      <x:c r="A179" s="11"/>
      <x:c r="B179" s="11"/>
      <x:c r="C179" s="11"/>
      <x:c r="D179" s="11"/>
      <x:c r="E179" s="11"/>
      <x:c r="F179" s="15"/>
      <x:c r="G179" s="16"/>
      <x:c r="H179" s="12"/>
      <x:c r="I179" s="11"/>
      <x:c r="J179" s="11"/>
      <x:c r="K179" s="11"/>
      <x:c r="L179" s="11"/>
      <x:c r="M179" s="11"/>
      <x:c r="N179" s="15"/>
      <x:c r="O179" s="14"/>
      <x:c r="P179" s="11"/>
    </x:row>
    <x:row r="180" ht="60" customHeight="1">
      <x:c r="A180" s="11"/>
      <x:c r="B180" s="11"/>
      <x:c r="C180" s="11"/>
      <x:c r="D180" s="11"/>
      <x:c r="E180" s="11"/>
      <x:c r="F180" s="15"/>
      <x:c r="G180" s="16"/>
      <x:c r="H180" s="12"/>
      <x:c r="I180" s="11"/>
      <x:c r="J180" s="11"/>
      <x:c r="K180" s="11"/>
      <x:c r="L180" s="11"/>
      <x:c r="M180" s="11"/>
      <x:c r="N180" s="15"/>
      <x:c r="O180" s="14"/>
      <x:c r="P180" s="11"/>
    </x:row>
    <x:row r="181" ht="60" customHeight="1">
      <x:c r="A181" s="11"/>
      <x:c r="B181" s="11"/>
      <x:c r="C181" s="11"/>
      <x:c r="D181" s="11"/>
      <x:c r="E181" s="11"/>
      <x:c r="F181" s="15"/>
      <x:c r="G181" s="16"/>
      <x:c r="H181" s="12"/>
      <x:c r="I181" s="11"/>
      <x:c r="J181" s="11"/>
      <x:c r="K181" s="11"/>
      <x:c r="L181" s="11"/>
      <x:c r="M181" s="11"/>
      <x:c r="N181" s="15"/>
      <x:c r="O181" s="14"/>
      <x:c r="P181" s="11"/>
    </x:row>
    <x:row r="182" ht="60" customHeight="1">
      <x:c r="A182" s="11"/>
      <x:c r="B182" s="11"/>
      <x:c r="C182" s="11"/>
      <x:c r="D182" s="11"/>
      <x:c r="E182" s="11"/>
      <x:c r="F182" s="15"/>
      <x:c r="G182" s="16"/>
      <x:c r="H182" s="12"/>
      <x:c r="I182" s="11"/>
      <x:c r="J182" s="11"/>
      <x:c r="K182" s="11"/>
      <x:c r="L182" s="11"/>
      <x:c r="M182" s="11"/>
      <x:c r="N182" s="15"/>
      <x:c r="O182" s="14"/>
      <x:c r="P182" s="11"/>
    </x:row>
    <x:row r="183" ht="60" customHeight="1">
      <x:c r="A183" s="11"/>
      <x:c r="B183" s="11"/>
      <x:c r="C183" s="11"/>
      <x:c r="D183" s="11"/>
      <x:c r="E183" s="11"/>
      <x:c r="F183" s="15"/>
      <x:c r="G183" s="16"/>
      <x:c r="H183" s="12"/>
      <x:c r="I183" s="11"/>
      <x:c r="J183" s="11"/>
      <x:c r="K183" s="11"/>
      <x:c r="L183" s="11"/>
      <x:c r="M183" s="11"/>
      <x:c r="N183" s="15"/>
      <x:c r="O183" s="14"/>
      <x:c r="P183" s="11"/>
    </x:row>
    <x:row r="184" ht="60" customHeight="1">
      <x:c r="A184" s="11"/>
      <x:c r="B184" s="11"/>
      <x:c r="C184" s="11"/>
      <x:c r="D184" s="11"/>
      <x:c r="E184" s="11"/>
      <x:c r="F184" s="15"/>
      <x:c r="G184" s="16"/>
      <x:c r="H184" s="12"/>
      <x:c r="I184" s="11"/>
      <x:c r="J184" s="11"/>
      <x:c r="K184" s="11"/>
      <x:c r="L184" s="11"/>
      <x:c r="M184" s="11"/>
      <x:c r="N184" s="15"/>
      <x:c r="O184" s="14"/>
      <x:c r="P184" s="11"/>
    </x:row>
    <x:row r="185" ht="60" customHeight="1">
      <x:c r="A185" s="11"/>
      <x:c r="B185" s="11"/>
      <x:c r="C185" s="11"/>
      <x:c r="D185" s="11"/>
      <x:c r="E185" s="11"/>
      <x:c r="F185" s="15"/>
      <x:c r="G185" s="16"/>
      <x:c r="H185" s="12"/>
      <x:c r="I185" s="11"/>
      <x:c r="J185" s="11"/>
      <x:c r="K185" s="11"/>
      <x:c r="L185" s="11"/>
      <x:c r="M185" s="11"/>
      <x:c r="N185" s="15"/>
      <x:c r="O185" s="14"/>
      <x:c r="P185" s="11"/>
    </x:row>
    <x:row r="186" ht="60" customHeight="1">
      <x:c r="A186" s="11"/>
      <x:c r="B186" s="11"/>
      <x:c r="C186" s="11"/>
      <x:c r="D186" s="11"/>
      <x:c r="E186" s="11"/>
      <x:c r="F186" s="15"/>
      <x:c r="G186" s="16"/>
      <x:c r="H186" s="12"/>
      <x:c r="I186" s="11"/>
      <x:c r="J186" s="11"/>
      <x:c r="K186" s="11"/>
      <x:c r="L186" s="11"/>
      <x:c r="M186" s="11"/>
      <x:c r="N186" s="15"/>
      <x:c r="O186" s="14"/>
      <x:c r="P186" s="11"/>
    </x:row>
    <x:row r="187" ht="60" customHeight="1">
      <x:c r="A187" s="11"/>
      <x:c r="B187" s="11"/>
      <x:c r="C187" s="11"/>
      <x:c r="D187" s="11"/>
      <x:c r="E187" s="11"/>
      <x:c r="F187" s="15"/>
      <x:c r="G187" s="16"/>
      <x:c r="H187" s="12"/>
      <x:c r="I187" s="11"/>
      <x:c r="J187" s="11"/>
      <x:c r="K187" s="11"/>
      <x:c r="L187" s="11"/>
      <x:c r="M187" s="11"/>
      <x:c r="N187" s="15"/>
      <x:c r="O187" s="14"/>
      <x:c r="P187" s="11"/>
    </x:row>
    <x:row r="188" ht="60" customHeight="1">
      <x:c r="A188" s="11"/>
      <x:c r="B188" s="11"/>
      <x:c r="C188" s="11"/>
      <x:c r="D188" s="11"/>
      <x:c r="E188" s="11"/>
      <x:c r="F188" s="15"/>
      <x:c r="G188" s="16"/>
      <x:c r="H188" s="12"/>
      <x:c r="I188" s="11"/>
      <x:c r="J188" s="11"/>
      <x:c r="K188" s="11"/>
      <x:c r="L188" s="11"/>
      <x:c r="M188" s="11"/>
      <x:c r="N188" s="15"/>
      <x:c r="O188" s="14"/>
      <x:c r="P188" s="11"/>
    </x:row>
    <x:row r="189" ht="60" customHeight="1">
      <x:c r="A189" s="11"/>
      <x:c r="B189" s="11"/>
      <x:c r="C189" s="11"/>
      <x:c r="D189" s="11"/>
      <x:c r="E189" s="11"/>
      <x:c r="F189" s="15"/>
      <x:c r="G189" s="16"/>
      <x:c r="H189" s="12"/>
      <x:c r="I189" s="11"/>
      <x:c r="J189" s="11"/>
      <x:c r="K189" s="11"/>
      <x:c r="L189" s="11"/>
      <x:c r="M189" s="11"/>
      <x:c r="N189" s="15"/>
      <x:c r="O189" s="14"/>
      <x:c r="P189" s="11"/>
    </x:row>
    <x:row r="190" ht="60" customHeight="1">
      <x:c r="A190" s="11"/>
      <x:c r="B190" s="11"/>
      <x:c r="C190" s="11"/>
      <x:c r="D190" s="11"/>
      <x:c r="E190" s="11"/>
      <x:c r="F190" s="15"/>
      <x:c r="G190" s="16"/>
      <x:c r="H190" s="12"/>
      <x:c r="I190" s="11"/>
      <x:c r="J190" s="11"/>
      <x:c r="K190" s="11"/>
      <x:c r="L190" s="11"/>
      <x:c r="M190" s="11"/>
      <x:c r="N190" s="15"/>
      <x:c r="O190" s="14"/>
      <x:c r="P190" s="11"/>
    </x:row>
    <x:row r="191" ht="60" customHeight="1">
      <x:c r="A191" s="11"/>
      <x:c r="B191" s="11"/>
      <x:c r="C191" s="11"/>
      <x:c r="D191" s="11"/>
      <x:c r="E191" s="11"/>
      <x:c r="F191" s="15"/>
      <x:c r="G191" s="16"/>
      <x:c r="H191" s="12"/>
      <x:c r="I191" s="11"/>
      <x:c r="J191" s="11"/>
      <x:c r="K191" s="11"/>
      <x:c r="L191" s="11"/>
      <x:c r="M191" s="11"/>
      <x:c r="N191" s="15"/>
      <x:c r="O191" s="14"/>
      <x:c r="P191" s="11"/>
    </x:row>
    <x:row r="192" ht="60" customHeight="1">
      <x:c r="A192" s="11"/>
      <x:c r="B192" s="11"/>
      <x:c r="C192" s="11"/>
      <x:c r="D192" s="11"/>
      <x:c r="E192" s="11"/>
      <x:c r="F192" s="15"/>
      <x:c r="G192" s="16"/>
      <x:c r="H192" s="12"/>
      <x:c r="I192" s="11"/>
      <x:c r="J192" s="11"/>
      <x:c r="K192" s="11"/>
      <x:c r="L192" s="11"/>
      <x:c r="M192" s="11"/>
      <x:c r="N192" s="15"/>
      <x:c r="O192" s="14"/>
      <x:c r="P192" s="11"/>
    </x:row>
    <x:row r="193" ht="60" customHeight="1">
      <x:c r="A193" s="11"/>
      <x:c r="B193" s="11"/>
      <x:c r="C193" s="11"/>
      <x:c r="D193" s="11"/>
      <x:c r="E193" s="11"/>
      <x:c r="F193" s="15"/>
      <x:c r="G193" s="16"/>
      <x:c r="H193" s="12"/>
      <x:c r="I193" s="11"/>
      <x:c r="J193" s="11"/>
      <x:c r="K193" s="11"/>
      <x:c r="L193" s="11"/>
      <x:c r="M193" s="11"/>
      <x:c r="N193" s="15"/>
      <x:c r="O193" s="14"/>
      <x:c r="P193" s="11"/>
    </x:row>
    <x:row r="194" ht="60" customHeight="1">
      <x:c r="A194" s="11"/>
      <x:c r="B194" s="11"/>
      <x:c r="C194" s="11"/>
      <x:c r="D194" s="11"/>
      <x:c r="E194" s="11"/>
      <x:c r="F194" s="15"/>
      <x:c r="G194" s="16"/>
      <x:c r="H194" s="12"/>
      <x:c r="I194" s="11"/>
      <x:c r="J194" s="11"/>
      <x:c r="K194" s="11"/>
      <x:c r="L194" s="11"/>
      <x:c r="M194" s="11"/>
      <x:c r="N194" s="15"/>
      <x:c r="O194" s="14"/>
      <x:c r="P194" s="11"/>
    </x:row>
    <x:row r="195" ht="60" customHeight="1">
      <x:c r="A195" s="11"/>
      <x:c r="B195" s="11"/>
      <x:c r="C195" s="11"/>
      <x:c r="D195" s="11"/>
      <x:c r="E195" s="11"/>
      <x:c r="F195" s="15"/>
      <x:c r="G195" s="16"/>
      <x:c r="H195" s="12"/>
      <x:c r="I195" s="11"/>
      <x:c r="J195" s="11"/>
      <x:c r="K195" s="11"/>
      <x:c r="L195" s="11"/>
      <x:c r="M195" s="11"/>
      <x:c r="N195" s="15"/>
      <x:c r="O195" s="14"/>
      <x:c r="P195" s="11"/>
    </x:row>
    <x:row r="196" ht="60" customHeight="1">
      <x:c r="A196" s="11"/>
      <x:c r="B196" s="11"/>
      <x:c r="C196" s="11"/>
      <x:c r="D196" s="11"/>
      <x:c r="E196" s="11"/>
      <x:c r="F196" s="15"/>
      <x:c r="G196" s="16"/>
      <x:c r="H196" s="12"/>
      <x:c r="I196" s="11"/>
      <x:c r="J196" s="11"/>
      <x:c r="K196" s="11"/>
      <x:c r="L196" s="11"/>
      <x:c r="M196" s="11"/>
      <x:c r="N196" s="15"/>
      <x:c r="O196" s="14"/>
      <x:c r="P196" s="11"/>
    </x:row>
    <x:row r="197" ht="60" customHeight="1">
      <x:c r="A197" s="11"/>
      <x:c r="B197" s="11"/>
      <x:c r="C197" s="11"/>
      <x:c r="D197" s="11"/>
      <x:c r="E197" s="11"/>
      <x:c r="F197" s="15"/>
      <x:c r="G197" s="16"/>
      <x:c r="H197" s="12"/>
      <x:c r="I197" s="11"/>
      <x:c r="J197" s="11"/>
      <x:c r="K197" s="11"/>
      <x:c r="L197" s="11"/>
      <x:c r="M197" s="11"/>
      <x:c r="N197" s="15"/>
      <x:c r="O197" s="14"/>
      <x:c r="P197" s="11"/>
    </x:row>
    <x:row r="198" ht="60" customHeight="1">
      <x:c r="A198" s="11"/>
      <x:c r="B198" s="11"/>
      <x:c r="C198" s="11"/>
      <x:c r="D198" s="11"/>
      <x:c r="E198" s="11"/>
      <x:c r="F198" s="15"/>
      <x:c r="G198" s="16"/>
      <x:c r="H198" s="12"/>
      <x:c r="I198" s="11"/>
      <x:c r="J198" s="11"/>
      <x:c r="K198" s="11"/>
      <x:c r="L198" s="11"/>
      <x:c r="M198" s="11"/>
      <x:c r="N198" s="15"/>
      <x:c r="O198" s="14"/>
      <x:c r="P198" s="11"/>
    </x:row>
    <x:row r="199" ht="60" customHeight="1">
      <x:c r="A199" s="11"/>
      <x:c r="B199" s="11"/>
      <x:c r="C199" s="11"/>
      <x:c r="D199" s="11"/>
      <x:c r="E199" s="11"/>
      <x:c r="F199" s="15"/>
      <x:c r="G199" s="16"/>
      <x:c r="H199" s="12"/>
      <x:c r="I199" s="11"/>
      <x:c r="J199" s="11"/>
      <x:c r="K199" s="11"/>
      <x:c r="L199" s="11"/>
      <x:c r="M199" s="11"/>
      <x:c r="N199" s="15"/>
      <x:c r="O199" s="14"/>
      <x:c r="P199" s="11"/>
    </x:row>
    <x:row r="200" ht="60" customHeight="1">
      <x:c r="A200" s="11"/>
      <x:c r="B200" s="11"/>
      <x:c r="C200" s="11"/>
      <x:c r="D200" s="11"/>
      <x:c r="E200" s="11"/>
      <x:c r="F200" s="15"/>
      <x:c r="G200" s="16"/>
      <x:c r="H200" s="12"/>
      <x:c r="I200" s="11"/>
      <x:c r="J200" s="11"/>
      <x:c r="K200" s="11"/>
      <x:c r="L200" s="11"/>
      <x:c r="M200" s="11"/>
      <x:c r="N200" s="15"/>
      <x:c r="O200" s="14"/>
      <x:c r="P200" s="11"/>
    </x:row>
    <x:row r="201" ht="60" customHeight="1">
      <x:c r="A201" s="11"/>
      <x:c r="B201" s="11"/>
      <x:c r="C201" s="11"/>
      <x:c r="D201" s="11"/>
      <x:c r="E201" s="11"/>
      <x:c r="F201" s="15"/>
      <x:c r="G201" s="16"/>
      <x:c r="H201" s="12"/>
      <x:c r="I201" s="11"/>
      <x:c r="J201" s="11"/>
      <x:c r="K201" s="11"/>
      <x:c r="L201" s="11"/>
      <x:c r="M201" s="11"/>
      <x:c r="N201" s="15"/>
      <x:c r="O201" s="14"/>
      <x:c r="P201" s="11"/>
    </x:row>
    <x:row r="202" ht="60" customHeight="1">
      <x:c r="A202" s="11"/>
      <x:c r="B202" s="11"/>
      <x:c r="C202" s="11"/>
      <x:c r="D202" s="11"/>
      <x:c r="E202" s="11"/>
      <x:c r="F202" s="15"/>
      <x:c r="G202" s="16"/>
      <x:c r="H202" s="12"/>
      <x:c r="I202" s="11"/>
      <x:c r="J202" s="11"/>
      <x:c r="K202" s="11"/>
      <x:c r="L202" s="11"/>
      <x:c r="M202" s="11"/>
      <x:c r="N202" s="15"/>
      <x:c r="O202" s="14"/>
      <x:c r="P202" s="11"/>
    </x:row>
    <x:row r="203" ht="60" customHeight="1">
      <x:c r="A203" s="11"/>
      <x:c r="B203" s="11"/>
      <x:c r="C203" s="11"/>
      <x:c r="D203" s="11"/>
      <x:c r="E203" s="11"/>
      <x:c r="F203" s="15"/>
      <x:c r="G203" s="16"/>
      <x:c r="H203" s="12"/>
      <x:c r="I203" s="11"/>
      <x:c r="J203" s="11"/>
      <x:c r="K203" s="11"/>
      <x:c r="L203" s="11"/>
      <x:c r="M203" s="11"/>
      <x:c r="N203" s="15"/>
      <x:c r="O203" s="14"/>
      <x:c r="P203" s="11"/>
    </x:row>
    <x:row r="204" ht="60" customHeight="1">
      <x:c r="A204" s="11"/>
      <x:c r="B204" s="11"/>
      <x:c r="C204" s="11"/>
      <x:c r="D204" s="11"/>
      <x:c r="E204" s="11"/>
      <x:c r="F204" s="15"/>
      <x:c r="G204" s="16"/>
      <x:c r="H204" s="12"/>
      <x:c r="I204" s="11"/>
      <x:c r="J204" s="11"/>
      <x:c r="K204" s="11"/>
      <x:c r="L204" s="11"/>
      <x:c r="M204" s="11"/>
      <x:c r="N204" s="15"/>
      <x:c r="O204" s="14"/>
      <x:c r="P204" s="11"/>
    </x:row>
    <x:row r="205" ht="60" customHeight="1">
      <x:c r="A205" s="11"/>
      <x:c r="B205" s="11"/>
      <x:c r="C205" s="11"/>
      <x:c r="D205" s="11"/>
      <x:c r="E205" s="11"/>
      <x:c r="F205" s="15"/>
      <x:c r="G205" s="16"/>
      <x:c r="H205" s="12"/>
      <x:c r="I205" s="11"/>
      <x:c r="J205" s="11"/>
      <x:c r="K205" s="11"/>
      <x:c r="L205" s="11"/>
      <x:c r="M205" s="11"/>
      <x:c r="N205" s="15"/>
      <x:c r="O205" s="14"/>
      <x:c r="P205" s="11"/>
    </x:row>
    <x:row r="206" ht="60" customHeight="1">
      <x:c r="A206" s="11"/>
      <x:c r="B206" s="11"/>
      <x:c r="C206" s="11"/>
      <x:c r="D206" s="11"/>
      <x:c r="E206" s="11"/>
      <x:c r="F206" s="15"/>
      <x:c r="G206" s="16"/>
      <x:c r="H206" s="12"/>
      <x:c r="I206" s="11"/>
      <x:c r="J206" s="11"/>
      <x:c r="K206" s="11"/>
      <x:c r="L206" s="11"/>
      <x:c r="M206" s="11"/>
      <x:c r="N206" s="15"/>
      <x:c r="O206" s="14"/>
      <x:c r="P206" s="11"/>
    </x:row>
  </x:sheetData>
  <x:conditionalFormatting sqref="J7:J206">
    <x:cfRule type="containsText" dxfId="6" priority="1" operator="containsText" text="Conflict"/>
  </x:conditionalFormatting>
  <x:dataValidations count="1">
    <x:dataValidation type="list" sqref="J7:J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d64068f128420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Progress billing evidence index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42" customHeight="1">
      <x:c r="A6" s="8" t="str">
        <x:v>Billing ID</x:v>
      </x:c>
      <x:c r="B6" s="8" t="str">
        <x:v>Project ID</x:v>
      </x:c>
      <x:c r="C6" s="8" t="str">
        <x:v>WBS ID</x:v>
      </x:c>
      <x:c r="D6" s="8" t="str">
        <x:v>Description</x:v>
      </x:c>
      <x:c r="E6" s="8" t="str">
        <x:v>Unit</x:v>
      </x:c>
      <x:c r="F6" s="8" t="str">
        <x:v>Reported Quantity</x:v>
      </x:c>
      <x:c r="G6" s="8" t="str">
        <x:v>Accepted Quantity</x:v>
      </x:c>
      <x:c r="H6" s="8" t="str">
        <x:v>Billable Quantity</x:v>
      </x:c>
      <x:c r="I6" s="8" t="str">
        <x:v>Billed Quantity</x:v>
      </x:c>
      <x:c r="J6" s="8" t="str">
        <x:v>Paid Quantity</x:v>
      </x:c>
      <x:c r="K6" s="8" t="str">
        <x:v>Unit Rate PHP</x:v>
      </x:c>
      <x:c r="L6" s="8" t="str">
        <x:v>Billable Authority Reference</x:v>
      </x:c>
      <x:c r="M6" s="8" t="str">
        <x:v>Billing Reference</x:v>
      </x:c>
      <x:c r="N6" s="8" t="str">
        <x:v>Payment Reference</x:v>
      </x:c>
      <x:c r="O6" s="8" t="str">
        <x:v>Evidence Reference</x:v>
      </x:c>
      <x:c r="P6" s="8" t="str">
        <x:v>Owner</x:v>
      </x:c>
      <x:c r="Q6" s="8" t="str">
        <x:v>Revision</x:v>
      </x:c>
      <x:c r="R6" s="8" t="str">
        <x:v>Source Reference</x:v>
      </x:c>
    </x:row>
    <x:row r="7" ht="60" customHeight="1">
      <x:c r="A7" s="11"/>
      <x:c r="B7" s="11"/>
      <x:c r="C7" s="11"/>
      <x:c r="D7" s="11"/>
      <x:c r="E7" s="11"/>
      <x:c r="F7" s="12"/>
      <x:c r="G7" s="12"/>
      <x:c r="H7" s="12"/>
      <x:c r="I7" s="12"/>
      <x:c r="J7" s="12"/>
      <x:c r="K7" s="16"/>
      <x:c r="L7" s="11"/>
      <x:c r="M7" s="11"/>
      <x:c r="N7" s="11"/>
      <x:c r="O7" s="11"/>
      <x:c r="P7" s="11"/>
      <x:c r="Q7" s="14"/>
      <x:c r="R7" s="11"/>
    </x:row>
    <x:row r="8" ht="60" customHeight="1">
      <x:c r="A8" s="11"/>
      <x:c r="B8" s="11"/>
      <x:c r="C8" s="11"/>
      <x:c r="D8" s="11"/>
      <x:c r="E8" s="11"/>
      <x:c r="F8" s="12"/>
      <x:c r="G8" s="12"/>
      <x:c r="H8" s="12"/>
      <x:c r="I8" s="12"/>
      <x:c r="J8" s="12"/>
      <x:c r="K8" s="16"/>
      <x:c r="L8" s="11"/>
      <x:c r="M8" s="11"/>
      <x:c r="N8" s="11"/>
      <x:c r="O8" s="11"/>
      <x:c r="P8" s="11"/>
      <x:c r="Q8" s="14"/>
      <x:c r="R8" s="11"/>
    </x:row>
    <x:row r="9" ht="60" customHeight="1">
      <x:c r="A9" s="11"/>
      <x:c r="B9" s="11"/>
      <x:c r="C9" s="11"/>
      <x:c r="D9" s="11"/>
      <x:c r="E9" s="11"/>
      <x:c r="F9" s="12"/>
      <x:c r="G9" s="12"/>
      <x:c r="H9" s="12"/>
      <x:c r="I9" s="12"/>
      <x:c r="J9" s="12"/>
      <x:c r="K9" s="16"/>
      <x:c r="L9" s="11"/>
      <x:c r="M9" s="11"/>
      <x:c r="N9" s="11"/>
      <x:c r="O9" s="11"/>
      <x:c r="P9" s="11"/>
      <x:c r="Q9" s="14"/>
      <x:c r="R9" s="11"/>
    </x:row>
    <x:row r="10" ht="60" customHeight="1">
      <x:c r="A10" s="11"/>
      <x:c r="B10" s="11"/>
      <x:c r="C10" s="11"/>
      <x:c r="D10" s="11"/>
      <x:c r="E10" s="11"/>
      <x:c r="F10" s="12"/>
      <x:c r="G10" s="12"/>
      <x:c r="H10" s="12"/>
      <x:c r="I10" s="12"/>
      <x:c r="J10" s="12"/>
      <x:c r="K10" s="16"/>
      <x:c r="L10" s="11"/>
      <x:c r="M10" s="11"/>
      <x:c r="N10" s="11"/>
      <x:c r="O10" s="11"/>
      <x:c r="P10" s="11"/>
      <x:c r="Q10" s="14"/>
      <x:c r="R10" s="11"/>
    </x:row>
    <x:row r="11" ht="60" customHeight="1">
      <x:c r="A11" s="11"/>
      <x:c r="B11" s="11"/>
      <x:c r="C11" s="11"/>
      <x:c r="D11" s="11"/>
      <x:c r="E11" s="11"/>
      <x:c r="F11" s="12"/>
      <x:c r="G11" s="12"/>
      <x:c r="H11" s="12"/>
      <x:c r="I11" s="12"/>
      <x:c r="J11" s="12"/>
      <x:c r="K11" s="16"/>
      <x:c r="L11" s="11"/>
      <x:c r="M11" s="11"/>
      <x:c r="N11" s="11"/>
      <x:c r="O11" s="11"/>
      <x:c r="P11" s="11"/>
      <x:c r="Q11" s="14"/>
      <x:c r="R11" s="11"/>
    </x:row>
    <x:row r="12" ht="60" customHeight="1">
      <x:c r="A12" s="11"/>
      <x:c r="B12" s="11"/>
      <x:c r="C12" s="11"/>
      <x:c r="D12" s="11"/>
      <x:c r="E12" s="11"/>
      <x:c r="F12" s="12"/>
      <x:c r="G12" s="12"/>
      <x:c r="H12" s="12"/>
      <x:c r="I12" s="12"/>
      <x:c r="J12" s="12"/>
      <x:c r="K12" s="16"/>
      <x:c r="L12" s="11"/>
      <x:c r="M12" s="11"/>
      <x:c r="N12" s="11"/>
      <x:c r="O12" s="11"/>
      <x:c r="P12" s="11"/>
      <x:c r="Q12" s="14"/>
      <x:c r="R12" s="11"/>
    </x:row>
    <x:row r="13" ht="60" customHeight="1">
      <x:c r="A13" s="11"/>
      <x:c r="B13" s="11"/>
      <x:c r="C13" s="11"/>
      <x:c r="D13" s="11"/>
      <x:c r="E13" s="11"/>
      <x:c r="F13" s="12"/>
      <x:c r="G13" s="12"/>
      <x:c r="H13" s="12"/>
      <x:c r="I13" s="12"/>
      <x:c r="J13" s="12"/>
      <x:c r="K13" s="16"/>
      <x:c r="L13" s="11"/>
      <x:c r="M13" s="11"/>
      <x:c r="N13" s="11"/>
      <x:c r="O13" s="11"/>
      <x:c r="P13" s="11"/>
      <x:c r="Q13" s="14"/>
      <x:c r="R13" s="11"/>
    </x:row>
    <x:row r="14" ht="60" customHeight="1">
      <x:c r="A14" s="11"/>
      <x:c r="B14" s="11"/>
      <x:c r="C14" s="11"/>
      <x:c r="D14" s="11"/>
      <x:c r="E14" s="11"/>
      <x:c r="F14" s="12"/>
      <x:c r="G14" s="12"/>
      <x:c r="H14" s="12"/>
      <x:c r="I14" s="12"/>
      <x:c r="J14" s="12"/>
      <x:c r="K14" s="16"/>
      <x:c r="L14" s="11"/>
      <x:c r="M14" s="11"/>
      <x:c r="N14" s="11"/>
      <x:c r="O14" s="11"/>
      <x:c r="P14" s="11"/>
      <x:c r="Q14" s="14"/>
      <x:c r="R14" s="11"/>
    </x:row>
    <x:row r="15" ht="60" customHeight="1">
      <x:c r="A15" s="11"/>
      <x:c r="B15" s="11"/>
      <x:c r="C15" s="11"/>
      <x:c r="D15" s="11"/>
      <x:c r="E15" s="11"/>
      <x:c r="F15" s="12"/>
      <x:c r="G15" s="12"/>
      <x:c r="H15" s="12"/>
      <x:c r="I15" s="12"/>
      <x:c r="J15" s="12"/>
      <x:c r="K15" s="16"/>
      <x:c r="L15" s="11"/>
      <x:c r="M15" s="11"/>
      <x:c r="N15" s="11"/>
      <x:c r="O15" s="11"/>
      <x:c r="P15" s="11"/>
      <x:c r="Q15" s="14"/>
      <x:c r="R15" s="11"/>
    </x:row>
    <x:row r="16" ht="60" customHeight="1">
      <x:c r="A16" s="11"/>
      <x:c r="B16" s="11"/>
      <x:c r="C16" s="11"/>
      <x:c r="D16" s="11"/>
      <x:c r="E16" s="11"/>
      <x:c r="F16" s="12"/>
      <x:c r="G16" s="12"/>
      <x:c r="H16" s="12"/>
      <x:c r="I16" s="12"/>
      <x:c r="J16" s="12"/>
      <x:c r="K16" s="16"/>
      <x:c r="L16" s="11"/>
      <x:c r="M16" s="11"/>
      <x:c r="N16" s="11"/>
      <x:c r="O16" s="11"/>
      <x:c r="P16" s="11"/>
      <x:c r="Q16" s="14"/>
      <x:c r="R16" s="11"/>
    </x:row>
    <x:row r="17" ht="60" customHeight="1">
      <x:c r="A17" s="11"/>
      <x:c r="B17" s="11"/>
      <x:c r="C17" s="11"/>
      <x:c r="D17" s="11"/>
      <x:c r="E17" s="11"/>
      <x:c r="F17" s="12"/>
      <x:c r="G17" s="12"/>
      <x:c r="H17" s="12"/>
      <x:c r="I17" s="12"/>
      <x:c r="J17" s="12"/>
      <x:c r="K17" s="16"/>
      <x:c r="L17" s="11"/>
      <x:c r="M17" s="11"/>
      <x:c r="N17" s="11"/>
      <x:c r="O17" s="11"/>
      <x:c r="P17" s="11"/>
      <x:c r="Q17" s="14"/>
      <x:c r="R17" s="11"/>
    </x:row>
    <x:row r="18" ht="60" customHeight="1">
      <x:c r="A18" s="11"/>
      <x:c r="B18" s="11"/>
      <x:c r="C18" s="11"/>
      <x:c r="D18" s="11"/>
      <x:c r="E18" s="11"/>
      <x:c r="F18" s="12"/>
      <x:c r="G18" s="12"/>
      <x:c r="H18" s="12"/>
      <x:c r="I18" s="12"/>
      <x:c r="J18" s="12"/>
      <x:c r="K18" s="16"/>
      <x:c r="L18" s="11"/>
      <x:c r="M18" s="11"/>
      <x:c r="N18" s="11"/>
      <x:c r="O18" s="11"/>
      <x:c r="P18" s="11"/>
      <x:c r="Q18" s="14"/>
      <x:c r="R18" s="11"/>
    </x:row>
    <x:row r="19" ht="60" customHeight="1">
      <x:c r="A19" s="11"/>
      <x:c r="B19" s="11"/>
      <x:c r="C19" s="11"/>
      <x:c r="D19" s="11"/>
      <x:c r="E19" s="11"/>
      <x:c r="F19" s="12"/>
      <x:c r="G19" s="12"/>
      <x:c r="H19" s="12"/>
      <x:c r="I19" s="12"/>
      <x:c r="J19" s="12"/>
      <x:c r="K19" s="16"/>
      <x:c r="L19" s="11"/>
      <x:c r="M19" s="11"/>
      <x:c r="N19" s="11"/>
      <x:c r="O19" s="11"/>
      <x:c r="P19" s="11"/>
      <x:c r="Q19" s="14"/>
      <x:c r="R19" s="11"/>
    </x:row>
    <x:row r="20" ht="60" customHeight="1">
      <x:c r="A20" s="11"/>
      <x:c r="B20" s="11"/>
      <x:c r="C20" s="11"/>
      <x:c r="D20" s="11"/>
      <x:c r="E20" s="11"/>
      <x:c r="F20" s="12"/>
      <x:c r="G20" s="12"/>
      <x:c r="H20" s="12"/>
      <x:c r="I20" s="12"/>
      <x:c r="J20" s="12"/>
      <x:c r="K20" s="16"/>
      <x:c r="L20" s="11"/>
      <x:c r="M20" s="11"/>
      <x:c r="N20" s="11"/>
      <x:c r="O20" s="11"/>
      <x:c r="P20" s="11"/>
      <x:c r="Q20" s="14"/>
      <x:c r="R20" s="11"/>
    </x:row>
    <x:row r="21" ht="60" customHeight="1">
      <x:c r="A21" s="11"/>
      <x:c r="B21" s="11"/>
      <x:c r="C21" s="11"/>
      <x:c r="D21" s="11"/>
      <x:c r="E21" s="11"/>
      <x:c r="F21" s="12"/>
      <x:c r="G21" s="12"/>
      <x:c r="H21" s="12"/>
      <x:c r="I21" s="12"/>
      <x:c r="J21" s="12"/>
      <x:c r="K21" s="16"/>
      <x:c r="L21" s="11"/>
      <x:c r="M21" s="11"/>
      <x:c r="N21" s="11"/>
      <x:c r="O21" s="11"/>
      <x:c r="P21" s="11"/>
      <x:c r="Q21" s="14"/>
      <x:c r="R21" s="11"/>
    </x:row>
    <x:row r="22" ht="60" customHeight="1">
      <x:c r="A22" s="11"/>
      <x:c r="B22" s="11"/>
      <x:c r="C22" s="11"/>
      <x:c r="D22" s="11"/>
      <x:c r="E22" s="11"/>
      <x:c r="F22" s="12"/>
      <x:c r="G22" s="12"/>
      <x:c r="H22" s="12"/>
      <x:c r="I22" s="12"/>
      <x:c r="J22" s="12"/>
      <x:c r="K22" s="16"/>
      <x:c r="L22" s="11"/>
      <x:c r="M22" s="11"/>
      <x:c r="N22" s="11"/>
      <x:c r="O22" s="11"/>
      <x:c r="P22" s="11"/>
      <x:c r="Q22" s="14"/>
      <x:c r="R22" s="11"/>
    </x:row>
    <x:row r="23" ht="60" customHeight="1">
      <x:c r="A23" s="11"/>
      <x:c r="B23" s="11"/>
      <x:c r="C23" s="11"/>
      <x:c r="D23" s="11"/>
      <x:c r="E23" s="11"/>
      <x:c r="F23" s="12"/>
      <x:c r="G23" s="12"/>
      <x:c r="H23" s="12"/>
      <x:c r="I23" s="12"/>
      <x:c r="J23" s="12"/>
      <x:c r="K23" s="16"/>
      <x:c r="L23" s="11"/>
      <x:c r="M23" s="11"/>
      <x:c r="N23" s="11"/>
      <x:c r="O23" s="11"/>
      <x:c r="P23" s="11"/>
      <x:c r="Q23" s="14"/>
      <x:c r="R23" s="11"/>
    </x:row>
    <x:row r="24" ht="60" customHeight="1">
      <x:c r="A24" s="11"/>
      <x:c r="B24" s="11"/>
      <x:c r="C24" s="11"/>
      <x:c r="D24" s="11"/>
      <x:c r="E24" s="11"/>
      <x:c r="F24" s="12"/>
      <x:c r="G24" s="12"/>
      <x:c r="H24" s="12"/>
      <x:c r="I24" s="12"/>
      <x:c r="J24" s="12"/>
      <x:c r="K24" s="16"/>
      <x:c r="L24" s="11"/>
      <x:c r="M24" s="11"/>
      <x:c r="N24" s="11"/>
      <x:c r="O24" s="11"/>
      <x:c r="P24" s="11"/>
      <x:c r="Q24" s="14"/>
      <x:c r="R24" s="11"/>
    </x:row>
    <x:row r="25" ht="60" customHeight="1">
      <x:c r="A25" s="11"/>
      <x:c r="B25" s="11"/>
      <x:c r="C25" s="11"/>
      <x:c r="D25" s="11"/>
      <x:c r="E25" s="11"/>
      <x:c r="F25" s="12"/>
      <x:c r="G25" s="12"/>
      <x:c r="H25" s="12"/>
      <x:c r="I25" s="12"/>
      <x:c r="J25" s="12"/>
      <x:c r="K25" s="16"/>
      <x:c r="L25" s="11"/>
      <x:c r="M25" s="11"/>
      <x:c r="N25" s="11"/>
      <x:c r="O25" s="11"/>
      <x:c r="P25" s="11"/>
      <x:c r="Q25" s="14"/>
      <x:c r="R25" s="11"/>
    </x:row>
    <x:row r="26" ht="60" customHeight="1">
      <x:c r="A26" s="11"/>
      <x:c r="B26" s="11"/>
      <x:c r="C26" s="11"/>
      <x:c r="D26" s="11"/>
      <x:c r="E26" s="11"/>
      <x:c r="F26" s="12"/>
      <x:c r="G26" s="12"/>
      <x:c r="H26" s="12"/>
      <x:c r="I26" s="12"/>
      <x:c r="J26" s="12"/>
      <x:c r="K26" s="16"/>
      <x:c r="L26" s="11"/>
      <x:c r="M26" s="11"/>
      <x:c r="N26" s="11"/>
      <x:c r="O26" s="11"/>
      <x:c r="P26" s="11"/>
      <x:c r="Q26" s="14"/>
      <x:c r="R26" s="11"/>
    </x:row>
    <x:row r="27" ht="60" customHeight="1">
      <x:c r="A27" s="11"/>
      <x:c r="B27" s="11"/>
      <x:c r="C27" s="11"/>
      <x:c r="D27" s="11"/>
      <x:c r="E27" s="11"/>
      <x:c r="F27" s="12"/>
      <x:c r="G27" s="12"/>
      <x:c r="H27" s="12"/>
      <x:c r="I27" s="12"/>
      <x:c r="J27" s="12"/>
      <x:c r="K27" s="16"/>
      <x:c r="L27" s="11"/>
      <x:c r="M27" s="11"/>
      <x:c r="N27" s="11"/>
      <x:c r="O27" s="11"/>
      <x:c r="P27" s="11"/>
      <x:c r="Q27" s="14"/>
      <x:c r="R27" s="11"/>
    </x:row>
    <x:row r="28" ht="60" customHeight="1">
      <x:c r="A28" s="11"/>
      <x:c r="B28" s="11"/>
      <x:c r="C28" s="11"/>
      <x:c r="D28" s="11"/>
      <x:c r="E28" s="11"/>
      <x:c r="F28" s="12"/>
      <x:c r="G28" s="12"/>
      <x:c r="H28" s="12"/>
      <x:c r="I28" s="12"/>
      <x:c r="J28" s="12"/>
      <x:c r="K28" s="16"/>
      <x:c r="L28" s="11"/>
      <x:c r="M28" s="11"/>
      <x:c r="N28" s="11"/>
      <x:c r="O28" s="11"/>
      <x:c r="P28" s="11"/>
      <x:c r="Q28" s="14"/>
      <x:c r="R28" s="11"/>
    </x:row>
    <x:row r="29" ht="60" customHeight="1">
      <x:c r="A29" s="11"/>
      <x:c r="B29" s="11"/>
      <x:c r="C29" s="11"/>
      <x:c r="D29" s="11"/>
      <x:c r="E29" s="11"/>
      <x:c r="F29" s="12"/>
      <x:c r="G29" s="12"/>
      <x:c r="H29" s="12"/>
      <x:c r="I29" s="12"/>
      <x:c r="J29" s="12"/>
      <x:c r="K29" s="16"/>
      <x:c r="L29" s="11"/>
      <x:c r="M29" s="11"/>
      <x:c r="N29" s="11"/>
      <x:c r="O29" s="11"/>
      <x:c r="P29" s="11"/>
      <x:c r="Q29" s="14"/>
      <x:c r="R29" s="11"/>
    </x:row>
    <x:row r="30" ht="60" customHeight="1">
      <x:c r="A30" s="11"/>
      <x:c r="B30" s="11"/>
      <x:c r="C30" s="11"/>
      <x:c r="D30" s="11"/>
      <x:c r="E30" s="11"/>
      <x:c r="F30" s="12"/>
      <x:c r="G30" s="12"/>
      <x:c r="H30" s="12"/>
      <x:c r="I30" s="12"/>
      <x:c r="J30" s="12"/>
      <x:c r="K30" s="16"/>
      <x:c r="L30" s="11"/>
      <x:c r="M30" s="11"/>
      <x:c r="N30" s="11"/>
      <x:c r="O30" s="11"/>
      <x:c r="P30" s="11"/>
      <x:c r="Q30" s="14"/>
      <x:c r="R30" s="11"/>
    </x:row>
    <x:row r="31" ht="60" customHeight="1">
      <x:c r="A31" s="11"/>
      <x:c r="B31" s="11"/>
      <x:c r="C31" s="11"/>
      <x:c r="D31" s="11"/>
      <x:c r="E31" s="11"/>
      <x:c r="F31" s="12"/>
      <x:c r="G31" s="12"/>
      <x:c r="H31" s="12"/>
      <x:c r="I31" s="12"/>
      <x:c r="J31" s="12"/>
      <x:c r="K31" s="16"/>
      <x:c r="L31" s="11"/>
      <x:c r="M31" s="11"/>
      <x:c r="N31" s="11"/>
      <x:c r="O31" s="11"/>
      <x:c r="P31" s="11"/>
      <x:c r="Q31" s="14"/>
      <x:c r="R31" s="11"/>
    </x:row>
    <x:row r="32" ht="60" customHeight="1">
      <x:c r="A32" s="11"/>
      <x:c r="B32" s="11"/>
      <x:c r="C32" s="11"/>
      <x:c r="D32" s="11"/>
      <x:c r="E32" s="11"/>
      <x:c r="F32" s="12"/>
      <x:c r="G32" s="12"/>
      <x:c r="H32" s="12"/>
      <x:c r="I32" s="12"/>
      <x:c r="J32" s="12"/>
      <x:c r="K32" s="16"/>
      <x:c r="L32" s="11"/>
      <x:c r="M32" s="11"/>
      <x:c r="N32" s="11"/>
      <x:c r="O32" s="11"/>
      <x:c r="P32" s="11"/>
      <x:c r="Q32" s="14"/>
      <x:c r="R32" s="11"/>
    </x:row>
    <x:row r="33" ht="60" customHeight="1">
      <x:c r="A33" s="11"/>
      <x:c r="B33" s="11"/>
      <x:c r="C33" s="11"/>
      <x:c r="D33" s="11"/>
      <x:c r="E33" s="11"/>
      <x:c r="F33" s="12"/>
      <x:c r="G33" s="12"/>
      <x:c r="H33" s="12"/>
      <x:c r="I33" s="12"/>
      <x:c r="J33" s="12"/>
      <x:c r="K33" s="16"/>
      <x:c r="L33" s="11"/>
      <x:c r="M33" s="11"/>
      <x:c r="N33" s="11"/>
      <x:c r="O33" s="11"/>
      <x:c r="P33" s="11"/>
      <x:c r="Q33" s="14"/>
      <x:c r="R33" s="11"/>
    </x:row>
    <x:row r="34" ht="60" customHeight="1">
      <x:c r="A34" s="11"/>
      <x:c r="B34" s="11"/>
      <x:c r="C34" s="11"/>
      <x:c r="D34" s="11"/>
      <x:c r="E34" s="11"/>
      <x:c r="F34" s="12"/>
      <x:c r="G34" s="12"/>
      <x:c r="H34" s="12"/>
      <x:c r="I34" s="12"/>
      <x:c r="J34" s="12"/>
      <x:c r="K34" s="16"/>
      <x:c r="L34" s="11"/>
      <x:c r="M34" s="11"/>
      <x:c r="N34" s="11"/>
      <x:c r="O34" s="11"/>
      <x:c r="P34" s="11"/>
      <x:c r="Q34" s="14"/>
      <x:c r="R34" s="11"/>
    </x:row>
    <x:row r="35" ht="60" customHeight="1">
      <x:c r="A35" s="11"/>
      <x:c r="B35" s="11"/>
      <x:c r="C35" s="11"/>
      <x:c r="D35" s="11"/>
      <x:c r="E35" s="11"/>
      <x:c r="F35" s="12"/>
      <x:c r="G35" s="12"/>
      <x:c r="H35" s="12"/>
      <x:c r="I35" s="12"/>
      <x:c r="J35" s="12"/>
      <x:c r="K35" s="16"/>
      <x:c r="L35" s="11"/>
      <x:c r="M35" s="11"/>
      <x:c r="N35" s="11"/>
      <x:c r="O35" s="11"/>
      <x:c r="P35" s="11"/>
      <x:c r="Q35" s="14"/>
      <x:c r="R35" s="11"/>
    </x:row>
    <x:row r="36" ht="60" customHeight="1">
      <x:c r="A36" s="11"/>
      <x:c r="B36" s="11"/>
      <x:c r="C36" s="11"/>
      <x:c r="D36" s="11"/>
      <x:c r="E36" s="11"/>
      <x:c r="F36" s="12"/>
      <x:c r="G36" s="12"/>
      <x:c r="H36" s="12"/>
      <x:c r="I36" s="12"/>
      <x:c r="J36" s="12"/>
      <x:c r="K36" s="16"/>
      <x:c r="L36" s="11"/>
      <x:c r="M36" s="11"/>
      <x:c r="N36" s="11"/>
      <x:c r="O36" s="11"/>
      <x:c r="P36" s="11"/>
      <x:c r="Q36" s="14"/>
      <x:c r="R36" s="11"/>
    </x:row>
    <x:row r="37" ht="60" customHeight="1">
      <x:c r="A37" s="11"/>
      <x:c r="B37" s="11"/>
      <x:c r="C37" s="11"/>
      <x:c r="D37" s="11"/>
      <x:c r="E37" s="11"/>
      <x:c r="F37" s="12"/>
      <x:c r="G37" s="12"/>
      <x:c r="H37" s="12"/>
      <x:c r="I37" s="12"/>
      <x:c r="J37" s="12"/>
      <x:c r="K37" s="16"/>
      <x:c r="L37" s="11"/>
      <x:c r="M37" s="11"/>
      <x:c r="N37" s="11"/>
      <x:c r="O37" s="11"/>
      <x:c r="P37" s="11"/>
      <x:c r="Q37" s="14"/>
      <x:c r="R37" s="11"/>
    </x:row>
    <x:row r="38" ht="60" customHeight="1">
      <x:c r="A38" s="11"/>
      <x:c r="B38" s="11"/>
      <x:c r="C38" s="11"/>
      <x:c r="D38" s="11"/>
      <x:c r="E38" s="11"/>
      <x:c r="F38" s="12"/>
      <x:c r="G38" s="12"/>
      <x:c r="H38" s="12"/>
      <x:c r="I38" s="12"/>
      <x:c r="J38" s="12"/>
      <x:c r="K38" s="16"/>
      <x:c r="L38" s="11"/>
      <x:c r="M38" s="11"/>
      <x:c r="N38" s="11"/>
      <x:c r="O38" s="11"/>
      <x:c r="P38" s="11"/>
      <x:c r="Q38" s="14"/>
      <x:c r="R38" s="11"/>
    </x:row>
    <x:row r="39" ht="60" customHeight="1">
      <x:c r="A39" s="11"/>
      <x:c r="B39" s="11"/>
      <x:c r="C39" s="11"/>
      <x:c r="D39" s="11"/>
      <x:c r="E39" s="11"/>
      <x:c r="F39" s="12"/>
      <x:c r="G39" s="12"/>
      <x:c r="H39" s="12"/>
      <x:c r="I39" s="12"/>
      <x:c r="J39" s="12"/>
      <x:c r="K39" s="16"/>
      <x:c r="L39" s="11"/>
      <x:c r="M39" s="11"/>
      <x:c r="N39" s="11"/>
      <x:c r="O39" s="11"/>
      <x:c r="P39" s="11"/>
      <x:c r="Q39" s="14"/>
      <x:c r="R39" s="11"/>
    </x:row>
    <x:row r="40" ht="60" customHeight="1">
      <x:c r="A40" s="11"/>
      <x:c r="B40" s="11"/>
      <x:c r="C40" s="11"/>
      <x:c r="D40" s="11"/>
      <x:c r="E40" s="11"/>
      <x:c r="F40" s="12"/>
      <x:c r="G40" s="12"/>
      <x:c r="H40" s="12"/>
      <x:c r="I40" s="12"/>
      <x:c r="J40" s="12"/>
      <x:c r="K40" s="16"/>
      <x:c r="L40" s="11"/>
      <x:c r="M40" s="11"/>
      <x:c r="N40" s="11"/>
      <x:c r="O40" s="11"/>
      <x:c r="P40" s="11"/>
      <x:c r="Q40" s="14"/>
      <x:c r="R40" s="11"/>
    </x:row>
    <x:row r="41" ht="60" customHeight="1">
      <x:c r="A41" s="11"/>
      <x:c r="B41" s="11"/>
      <x:c r="C41" s="11"/>
      <x:c r="D41" s="11"/>
      <x:c r="E41" s="11"/>
      <x:c r="F41" s="12"/>
      <x:c r="G41" s="12"/>
      <x:c r="H41" s="12"/>
      <x:c r="I41" s="12"/>
      <x:c r="J41" s="12"/>
      <x:c r="K41" s="16"/>
      <x:c r="L41" s="11"/>
      <x:c r="M41" s="11"/>
      <x:c r="N41" s="11"/>
      <x:c r="O41" s="11"/>
      <x:c r="P41" s="11"/>
      <x:c r="Q41" s="14"/>
      <x:c r="R41" s="11"/>
    </x:row>
    <x:row r="42" ht="60" customHeight="1">
      <x:c r="A42" s="11"/>
      <x:c r="B42" s="11"/>
      <x:c r="C42" s="11"/>
      <x:c r="D42" s="11"/>
      <x:c r="E42" s="11"/>
      <x:c r="F42" s="12"/>
      <x:c r="G42" s="12"/>
      <x:c r="H42" s="12"/>
      <x:c r="I42" s="12"/>
      <x:c r="J42" s="12"/>
      <x:c r="K42" s="16"/>
      <x:c r="L42" s="11"/>
      <x:c r="M42" s="11"/>
      <x:c r="N42" s="11"/>
      <x:c r="O42" s="11"/>
      <x:c r="P42" s="11"/>
      <x:c r="Q42" s="14"/>
      <x:c r="R42" s="11"/>
    </x:row>
    <x:row r="43" ht="60" customHeight="1">
      <x:c r="A43" s="11"/>
      <x:c r="B43" s="11"/>
      <x:c r="C43" s="11"/>
      <x:c r="D43" s="11"/>
      <x:c r="E43" s="11"/>
      <x:c r="F43" s="12"/>
      <x:c r="G43" s="12"/>
      <x:c r="H43" s="12"/>
      <x:c r="I43" s="12"/>
      <x:c r="J43" s="12"/>
      <x:c r="K43" s="16"/>
      <x:c r="L43" s="11"/>
      <x:c r="M43" s="11"/>
      <x:c r="N43" s="11"/>
      <x:c r="O43" s="11"/>
      <x:c r="P43" s="11"/>
      <x:c r="Q43" s="14"/>
      <x:c r="R43" s="11"/>
    </x:row>
    <x:row r="44" ht="60" customHeight="1">
      <x:c r="A44" s="11"/>
      <x:c r="B44" s="11"/>
      <x:c r="C44" s="11"/>
      <x:c r="D44" s="11"/>
      <x:c r="E44" s="11"/>
      <x:c r="F44" s="12"/>
      <x:c r="G44" s="12"/>
      <x:c r="H44" s="12"/>
      <x:c r="I44" s="12"/>
      <x:c r="J44" s="12"/>
      <x:c r="K44" s="16"/>
      <x:c r="L44" s="11"/>
      <x:c r="M44" s="11"/>
      <x:c r="N44" s="11"/>
      <x:c r="O44" s="11"/>
      <x:c r="P44" s="11"/>
      <x:c r="Q44" s="14"/>
      <x:c r="R44" s="11"/>
    </x:row>
    <x:row r="45" ht="60" customHeight="1">
      <x:c r="A45" s="11"/>
      <x:c r="B45" s="11"/>
      <x:c r="C45" s="11"/>
      <x:c r="D45" s="11"/>
      <x:c r="E45" s="11"/>
      <x:c r="F45" s="12"/>
      <x:c r="G45" s="12"/>
      <x:c r="H45" s="12"/>
      <x:c r="I45" s="12"/>
      <x:c r="J45" s="12"/>
      <x:c r="K45" s="16"/>
      <x:c r="L45" s="11"/>
      <x:c r="M45" s="11"/>
      <x:c r="N45" s="11"/>
      <x:c r="O45" s="11"/>
      <x:c r="P45" s="11"/>
      <x:c r="Q45" s="14"/>
      <x:c r="R45" s="11"/>
    </x:row>
    <x:row r="46" ht="60" customHeight="1">
      <x:c r="A46" s="11"/>
      <x:c r="B46" s="11"/>
      <x:c r="C46" s="11"/>
      <x:c r="D46" s="11"/>
      <x:c r="E46" s="11"/>
      <x:c r="F46" s="12"/>
      <x:c r="G46" s="12"/>
      <x:c r="H46" s="12"/>
      <x:c r="I46" s="12"/>
      <x:c r="J46" s="12"/>
      <x:c r="K46" s="16"/>
      <x:c r="L46" s="11"/>
      <x:c r="M46" s="11"/>
      <x:c r="N46" s="11"/>
      <x:c r="O46" s="11"/>
      <x:c r="P46" s="11"/>
      <x:c r="Q46" s="14"/>
      <x:c r="R46" s="11"/>
    </x:row>
    <x:row r="47" ht="60" customHeight="1">
      <x:c r="A47" s="11"/>
      <x:c r="B47" s="11"/>
      <x:c r="C47" s="11"/>
      <x:c r="D47" s="11"/>
      <x:c r="E47" s="11"/>
      <x:c r="F47" s="12"/>
      <x:c r="G47" s="12"/>
      <x:c r="H47" s="12"/>
      <x:c r="I47" s="12"/>
      <x:c r="J47" s="12"/>
      <x:c r="K47" s="16"/>
      <x:c r="L47" s="11"/>
      <x:c r="M47" s="11"/>
      <x:c r="N47" s="11"/>
      <x:c r="O47" s="11"/>
      <x:c r="P47" s="11"/>
      <x:c r="Q47" s="14"/>
      <x:c r="R47" s="11"/>
    </x:row>
    <x:row r="48" ht="60" customHeight="1">
      <x:c r="A48" s="11"/>
      <x:c r="B48" s="11"/>
      <x:c r="C48" s="11"/>
      <x:c r="D48" s="11"/>
      <x:c r="E48" s="11"/>
      <x:c r="F48" s="12"/>
      <x:c r="G48" s="12"/>
      <x:c r="H48" s="12"/>
      <x:c r="I48" s="12"/>
      <x:c r="J48" s="12"/>
      <x:c r="K48" s="16"/>
      <x:c r="L48" s="11"/>
      <x:c r="M48" s="11"/>
      <x:c r="N48" s="11"/>
      <x:c r="O48" s="11"/>
      <x:c r="P48" s="11"/>
      <x:c r="Q48" s="14"/>
      <x:c r="R48" s="11"/>
    </x:row>
    <x:row r="49" ht="60" customHeight="1">
      <x:c r="A49" s="11"/>
      <x:c r="B49" s="11"/>
      <x:c r="C49" s="11"/>
      <x:c r="D49" s="11"/>
      <x:c r="E49" s="11"/>
      <x:c r="F49" s="12"/>
      <x:c r="G49" s="12"/>
      <x:c r="H49" s="12"/>
      <x:c r="I49" s="12"/>
      <x:c r="J49" s="12"/>
      <x:c r="K49" s="16"/>
      <x:c r="L49" s="11"/>
      <x:c r="M49" s="11"/>
      <x:c r="N49" s="11"/>
      <x:c r="O49" s="11"/>
      <x:c r="P49" s="11"/>
      <x:c r="Q49" s="14"/>
      <x:c r="R49" s="11"/>
    </x:row>
    <x:row r="50" ht="60" customHeight="1">
      <x:c r="A50" s="11"/>
      <x:c r="B50" s="11"/>
      <x:c r="C50" s="11"/>
      <x:c r="D50" s="11"/>
      <x:c r="E50" s="11"/>
      <x:c r="F50" s="12"/>
      <x:c r="G50" s="12"/>
      <x:c r="H50" s="12"/>
      <x:c r="I50" s="12"/>
      <x:c r="J50" s="12"/>
      <x:c r="K50" s="16"/>
      <x:c r="L50" s="11"/>
      <x:c r="M50" s="11"/>
      <x:c r="N50" s="11"/>
      <x:c r="O50" s="11"/>
      <x:c r="P50" s="11"/>
      <x:c r="Q50" s="14"/>
      <x:c r="R50" s="11"/>
    </x:row>
    <x:row r="51" ht="60" customHeight="1">
      <x:c r="A51" s="11"/>
      <x:c r="B51" s="11"/>
      <x:c r="C51" s="11"/>
      <x:c r="D51" s="11"/>
      <x:c r="E51" s="11"/>
      <x:c r="F51" s="12"/>
      <x:c r="G51" s="12"/>
      <x:c r="H51" s="12"/>
      <x:c r="I51" s="12"/>
      <x:c r="J51" s="12"/>
      <x:c r="K51" s="16"/>
      <x:c r="L51" s="11"/>
      <x:c r="M51" s="11"/>
      <x:c r="N51" s="11"/>
      <x:c r="O51" s="11"/>
      <x:c r="P51" s="11"/>
      <x:c r="Q51" s="14"/>
      <x:c r="R51" s="11"/>
    </x:row>
    <x:row r="52" ht="60" customHeight="1">
      <x:c r="A52" s="11"/>
      <x:c r="B52" s="11"/>
      <x:c r="C52" s="11"/>
      <x:c r="D52" s="11"/>
      <x:c r="E52" s="11"/>
      <x:c r="F52" s="12"/>
      <x:c r="G52" s="12"/>
      <x:c r="H52" s="12"/>
      <x:c r="I52" s="12"/>
      <x:c r="J52" s="12"/>
      <x:c r="K52" s="16"/>
      <x:c r="L52" s="11"/>
      <x:c r="M52" s="11"/>
      <x:c r="N52" s="11"/>
      <x:c r="O52" s="11"/>
      <x:c r="P52" s="11"/>
      <x:c r="Q52" s="14"/>
      <x:c r="R52" s="11"/>
    </x:row>
    <x:row r="53" ht="60" customHeight="1">
      <x:c r="A53" s="11"/>
      <x:c r="B53" s="11"/>
      <x:c r="C53" s="11"/>
      <x:c r="D53" s="11"/>
      <x:c r="E53" s="11"/>
      <x:c r="F53" s="12"/>
      <x:c r="G53" s="12"/>
      <x:c r="H53" s="12"/>
      <x:c r="I53" s="12"/>
      <x:c r="J53" s="12"/>
      <x:c r="K53" s="16"/>
      <x:c r="L53" s="11"/>
      <x:c r="M53" s="11"/>
      <x:c r="N53" s="11"/>
      <x:c r="O53" s="11"/>
      <x:c r="P53" s="11"/>
      <x:c r="Q53" s="14"/>
      <x:c r="R53" s="11"/>
    </x:row>
    <x:row r="54" ht="60" customHeight="1">
      <x:c r="A54" s="11"/>
      <x:c r="B54" s="11"/>
      <x:c r="C54" s="11"/>
      <x:c r="D54" s="11"/>
      <x:c r="E54" s="11"/>
      <x:c r="F54" s="12"/>
      <x:c r="G54" s="12"/>
      <x:c r="H54" s="12"/>
      <x:c r="I54" s="12"/>
      <x:c r="J54" s="12"/>
      <x:c r="K54" s="16"/>
      <x:c r="L54" s="11"/>
      <x:c r="M54" s="11"/>
      <x:c r="N54" s="11"/>
      <x:c r="O54" s="11"/>
      <x:c r="P54" s="11"/>
      <x:c r="Q54" s="14"/>
      <x:c r="R54" s="11"/>
    </x:row>
    <x:row r="55" ht="60" customHeight="1">
      <x:c r="A55" s="11"/>
      <x:c r="B55" s="11"/>
      <x:c r="C55" s="11"/>
      <x:c r="D55" s="11"/>
      <x:c r="E55" s="11"/>
      <x:c r="F55" s="12"/>
      <x:c r="G55" s="12"/>
      <x:c r="H55" s="12"/>
      <x:c r="I55" s="12"/>
      <x:c r="J55" s="12"/>
      <x:c r="K55" s="16"/>
      <x:c r="L55" s="11"/>
      <x:c r="M55" s="11"/>
      <x:c r="N55" s="11"/>
      <x:c r="O55" s="11"/>
      <x:c r="P55" s="11"/>
      <x:c r="Q55" s="14"/>
      <x:c r="R55" s="11"/>
    </x:row>
    <x:row r="56" ht="60" customHeight="1">
      <x:c r="A56" s="11"/>
      <x:c r="B56" s="11"/>
      <x:c r="C56" s="11"/>
      <x:c r="D56" s="11"/>
      <x:c r="E56" s="11"/>
      <x:c r="F56" s="12"/>
      <x:c r="G56" s="12"/>
      <x:c r="H56" s="12"/>
      <x:c r="I56" s="12"/>
      <x:c r="J56" s="12"/>
      <x:c r="K56" s="16"/>
      <x:c r="L56" s="11"/>
      <x:c r="M56" s="11"/>
      <x:c r="N56" s="11"/>
      <x:c r="O56" s="11"/>
      <x:c r="P56" s="11"/>
      <x:c r="Q56" s="14"/>
      <x:c r="R56" s="11"/>
    </x:row>
    <x:row r="57" ht="60" customHeight="1">
      <x:c r="A57" s="11"/>
      <x:c r="B57" s="11"/>
      <x:c r="C57" s="11"/>
      <x:c r="D57" s="11"/>
      <x:c r="E57" s="11"/>
      <x:c r="F57" s="12"/>
      <x:c r="G57" s="12"/>
      <x:c r="H57" s="12"/>
      <x:c r="I57" s="12"/>
      <x:c r="J57" s="12"/>
      <x:c r="K57" s="16"/>
      <x:c r="L57" s="11"/>
      <x:c r="M57" s="11"/>
      <x:c r="N57" s="11"/>
      <x:c r="O57" s="11"/>
      <x:c r="P57" s="11"/>
      <x:c r="Q57" s="14"/>
      <x:c r="R57" s="11"/>
    </x:row>
    <x:row r="58" ht="60" customHeight="1">
      <x:c r="A58" s="11"/>
      <x:c r="B58" s="11"/>
      <x:c r="C58" s="11"/>
      <x:c r="D58" s="11"/>
      <x:c r="E58" s="11"/>
      <x:c r="F58" s="12"/>
      <x:c r="G58" s="12"/>
      <x:c r="H58" s="12"/>
      <x:c r="I58" s="12"/>
      <x:c r="J58" s="12"/>
      <x:c r="K58" s="16"/>
      <x:c r="L58" s="11"/>
      <x:c r="M58" s="11"/>
      <x:c r="N58" s="11"/>
      <x:c r="O58" s="11"/>
      <x:c r="P58" s="11"/>
      <x:c r="Q58" s="14"/>
      <x:c r="R58" s="11"/>
    </x:row>
    <x:row r="59" ht="60" customHeight="1">
      <x:c r="A59" s="11"/>
      <x:c r="B59" s="11"/>
      <x:c r="C59" s="11"/>
      <x:c r="D59" s="11"/>
      <x:c r="E59" s="11"/>
      <x:c r="F59" s="12"/>
      <x:c r="G59" s="12"/>
      <x:c r="H59" s="12"/>
      <x:c r="I59" s="12"/>
      <x:c r="J59" s="12"/>
      <x:c r="K59" s="16"/>
      <x:c r="L59" s="11"/>
      <x:c r="M59" s="11"/>
      <x:c r="N59" s="11"/>
      <x:c r="O59" s="11"/>
      <x:c r="P59" s="11"/>
      <x:c r="Q59" s="14"/>
      <x:c r="R59" s="11"/>
    </x:row>
    <x:row r="60" ht="60" customHeight="1">
      <x:c r="A60" s="11"/>
      <x:c r="B60" s="11"/>
      <x:c r="C60" s="11"/>
      <x:c r="D60" s="11"/>
      <x:c r="E60" s="11"/>
      <x:c r="F60" s="12"/>
      <x:c r="G60" s="12"/>
      <x:c r="H60" s="12"/>
      <x:c r="I60" s="12"/>
      <x:c r="J60" s="12"/>
      <x:c r="K60" s="16"/>
      <x:c r="L60" s="11"/>
      <x:c r="M60" s="11"/>
      <x:c r="N60" s="11"/>
      <x:c r="O60" s="11"/>
      <x:c r="P60" s="11"/>
      <x:c r="Q60" s="14"/>
      <x:c r="R60" s="11"/>
    </x:row>
    <x:row r="61" ht="60" customHeight="1">
      <x:c r="A61" s="11"/>
      <x:c r="B61" s="11"/>
      <x:c r="C61" s="11"/>
      <x:c r="D61" s="11"/>
      <x:c r="E61" s="11"/>
      <x:c r="F61" s="12"/>
      <x:c r="G61" s="12"/>
      <x:c r="H61" s="12"/>
      <x:c r="I61" s="12"/>
      <x:c r="J61" s="12"/>
      <x:c r="K61" s="16"/>
      <x:c r="L61" s="11"/>
      <x:c r="M61" s="11"/>
      <x:c r="N61" s="11"/>
      <x:c r="O61" s="11"/>
      <x:c r="P61" s="11"/>
      <x:c r="Q61" s="14"/>
      <x:c r="R61" s="11"/>
    </x:row>
    <x:row r="62" ht="60" customHeight="1">
      <x:c r="A62" s="11"/>
      <x:c r="B62" s="11"/>
      <x:c r="C62" s="11"/>
      <x:c r="D62" s="11"/>
      <x:c r="E62" s="11"/>
      <x:c r="F62" s="12"/>
      <x:c r="G62" s="12"/>
      <x:c r="H62" s="12"/>
      <x:c r="I62" s="12"/>
      <x:c r="J62" s="12"/>
      <x:c r="K62" s="16"/>
      <x:c r="L62" s="11"/>
      <x:c r="M62" s="11"/>
      <x:c r="N62" s="11"/>
      <x:c r="O62" s="11"/>
      <x:c r="P62" s="11"/>
      <x:c r="Q62" s="14"/>
      <x:c r="R62" s="11"/>
    </x:row>
    <x:row r="63" ht="60" customHeight="1">
      <x:c r="A63" s="11"/>
      <x:c r="B63" s="11"/>
      <x:c r="C63" s="11"/>
      <x:c r="D63" s="11"/>
      <x:c r="E63" s="11"/>
      <x:c r="F63" s="12"/>
      <x:c r="G63" s="12"/>
      <x:c r="H63" s="12"/>
      <x:c r="I63" s="12"/>
      <x:c r="J63" s="12"/>
      <x:c r="K63" s="16"/>
      <x:c r="L63" s="11"/>
      <x:c r="M63" s="11"/>
      <x:c r="N63" s="11"/>
      <x:c r="O63" s="11"/>
      <x:c r="P63" s="11"/>
      <x:c r="Q63" s="14"/>
      <x:c r="R63" s="11"/>
    </x:row>
    <x:row r="64" ht="60" customHeight="1">
      <x:c r="A64" s="11"/>
      <x:c r="B64" s="11"/>
      <x:c r="C64" s="11"/>
      <x:c r="D64" s="11"/>
      <x:c r="E64" s="11"/>
      <x:c r="F64" s="12"/>
      <x:c r="G64" s="12"/>
      <x:c r="H64" s="12"/>
      <x:c r="I64" s="12"/>
      <x:c r="J64" s="12"/>
      <x:c r="K64" s="16"/>
      <x:c r="L64" s="11"/>
      <x:c r="M64" s="11"/>
      <x:c r="N64" s="11"/>
      <x:c r="O64" s="11"/>
      <x:c r="P64" s="11"/>
      <x:c r="Q64" s="14"/>
      <x:c r="R64" s="11"/>
    </x:row>
    <x:row r="65" ht="60" customHeight="1">
      <x:c r="A65" s="11"/>
      <x:c r="B65" s="11"/>
      <x:c r="C65" s="11"/>
      <x:c r="D65" s="11"/>
      <x:c r="E65" s="11"/>
      <x:c r="F65" s="12"/>
      <x:c r="G65" s="12"/>
      <x:c r="H65" s="12"/>
      <x:c r="I65" s="12"/>
      <x:c r="J65" s="12"/>
      <x:c r="K65" s="16"/>
      <x:c r="L65" s="11"/>
      <x:c r="M65" s="11"/>
      <x:c r="N65" s="11"/>
      <x:c r="O65" s="11"/>
      <x:c r="P65" s="11"/>
      <x:c r="Q65" s="14"/>
      <x:c r="R65" s="11"/>
    </x:row>
    <x:row r="66" ht="60" customHeight="1">
      <x:c r="A66" s="11"/>
      <x:c r="B66" s="11"/>
      <x:c r="C66" s="11"/>
      <x:c r="D66" s="11"/>
      <x:c r="E66" s="11"/>
      <x:c r="F66" s="12"/>
      <x:c r="G66" s="12"/>
      <x:c r="H66" s="12"/>
      <x:c r="I66" s="12"/>
      <x:c r="J66" s="12"/>
      <x:c r="K66" s="16"/>
      <x:c r="L66" s="11"/>
      <x:c r="M66" s="11"/>
      <x:c r="N66" s="11"/>
      <x:c r="O66" s="11"/>
      <x:c r="P66" s="11"/>
      <x:c r="Q66" s="14"/>
      <x:c r="R66" s="11"/>
    </x:row>
    <x:row r="67" ht="60" customHeight="1">
      <x:c r="A67" s="11"/>
      <x:c r="B67" s="11"/>
      <x:c r="C67" s="11"/>
      <x:c r="D67" s="11"/>
      <x:c r="E67" s="11"/>
      <x:c r="F67" s="12"/>
      <x:c r="G67" s="12"/>
      <x:c r="H67" s="12"/>
      <x:c r="I67" s="12"/>
      <x:c r="J67" s="12"/>
      <x:c r="K67" s="16"/>
      <x:c r="L67" s="11"/>
      <x:c r="M67" s="11"/>
      <x:c r="N67" s="11"/>
      <x:c r="O67" s="11"/>
      <x:c r="P67" s="11"/>
      <x:c r="Q67" s="14"/>
      <x:c r="R67" s="11"/>
    </x:row>
    <x:row r="68" ht="60" customHeight="1">
      <x:c r="A68" s="11"/>
      <x:c r="B68" s="11"/>
      <x:c r="C68" s="11"/>
      <x:c r="D68" s="11"/>
      <x:c r="E68" s="11"/>
      <x:c r="F68" s="12"/>
      <x:c r="G68" s="12"/>
      <x:c r="H68" s="12"/>
      <x:c r="I68" s="12"/>
      <x:c r="J68" s="12"/>
      <x:c r="K68" s="16"/>
      <x:c r="L68" s="11"/>
      <x:c r="M68" s="11"/>
      <x:c r="N68" s="11"/>
      <x:c r="O68" s="11"/>
      <x:c r="P68" s="11"/>
      <x:c r="Q68" s="14"/>
      <x:c r="R68" s="11"/>
    </x:row>
    <x:row r="69" ht="60" customHeight="1">
      <x:c r="A69" s="11"/>
      <x:c r="B69" s="11"/>
      <x:c r="C69" s="11"/>
      <x:c r="D69" s="11"/>
      <x:c r="E69" s="11"/>
      <x:c r="F69" s="12"/>
      <x:c r="G69" s="12"/>
      <x:c r="H69" s="12"/>
      <x:c r="I69" s="12"/>
      <x:c r="J69" s="12"/>
      <x:c r="K69" s="16"/>
      <x:c r="L69" s="11"/>
      <x:c r="M69" s="11"/>
      <x:c r="N69" s="11"/>
      <x:c r="O69" s="11"/>
      <x:c r="P69" s="11"/>
      <x:c r="Q69" s="14"/>
      <x:c r="R69" s="11"/>
    </x:row>
    <x:row r="70" ht="60" customHeight="1">
      <x:c r="A70" s="11"/>
      <x:c r="B70" s="11"/>
      <x:c r="C70" s="11"/>
      <x:c r="D70" s="11"/>
      <x:c r="E70" s="11"/>
      <x:c r="F70" s="12"/>
      <x:c r="G70" s="12"/>
      <x:c r="H70" s="12"/>
      <x:c r="I70" s="12"/>
      <x:c r="J70" s="12"/>
      <x:c r="K70" s="16"/>
      <x:c r="L70" s="11"/>
      <x:c r="M70" s="11"/>
      <x:c r="N70" s="11"/>
      <x:c r="O70" s="11"/>
      <x:c r="P70" s="11"/>
      <x:c r="Q70" s="14"/>
      <x:c r="R70" s="11"/>
    </x:row>
    <x:row r="71" ht="60" customHeight="1">
      <x:c r="A71" s="11"/>
      <x:c r="B71" s="11"/>
      <x:c r="C71" s="11"/>
      <x:c r="D71" s="11"/>
      <x:c r="E71" s="11"/>
      <x:c r="F71" s="12"/>
      <x:c r="G71" s="12"/>
      <x:c r="H71" s="12"/>
      <x:c r="I71" s="12"/>
      <x:c r="J71" s="12"/>
      <x:c r="K71" s="16"/>
      <x:c r="L71" s="11"/>
      <x:c r="M71" s="11"/>
      <x:c r="N71" s="11"/>
      <x:c r="O71" s="11"/>
      <x:c r="P71" s="11"/>
      <x:c r="Q71" s="14"/>
      <x:c r="R71" s="11"/>
    </x:row>
    <x:row r="72" ht="60" customHeight="1">
      <x:c r="A72" s="11"/>
      <x:c r="B72" s="11"/>
      <x:c r="C72" s="11"/>
      <x:c r="D72" s="11"/>
      <x:c r="E72" s="11"/>
      <x:c r="F72" s="12"/>
      <x:c r="G72" s="12"/>
      <x:c r="H72" s="12"/>
      <x:c r="I72" s="12"/>
      <x:c r="J72" s="12"/>
      <x:c r="K72" s="16"/>
      <x:c r="L72" s="11"/>
      <x:c r="M72" s="11"/>
      <x:c r="N72" s="11"/>
      <x:c r="O72" s="11"/>
      <x:c r="P72" s="11"/>
      <x:c r="Q72" s="14"/>
      <x:c r="R72" s="11"/>
    </x:row>
    <x:row r="73" ht="60" customHeight="1">
      <x:c r="A73" s="11"/>
      <x:c r="B73" s="11"/>
      <x:c r="C73" s="11"/>
      <x:c r="D73" s="11"/>
      <x:c r="E73" s="11"/>
      <x:c r="F73" s="12"/>
      <x:c r="G73" s="12"/>
      <x:c r="H73" s="12"/>
      <x:c r="I73" s="12"/>
      <x:c r="J73" s="12"/>
      <x:c r="K73" s="16"/>
      <x:c r="L73" s="11"/>
      <x:c r="M73" s="11"/>
      <x:c r="N73" s="11"/>
      <x:c r="O73" s="11"/>
      <x:c r="P73" s="11"/>
      <x:c r="Q73" s="14"/>
      <x:c r="R73" s="11"/>
    </x:row>
    <x:row r="74" ht="60" customHeight="1">
      <x:c r="A74" s="11"/>
      <x:c r="B74" s="11"/>
      <x:c r="C74" s="11"/>
      <x:c r="D74" s="11"/>
      <x:c r="E74" s="11"/>
      <x:c r="F74" s="12"/>
      <x:c r="G74" s="12"/>
      <x:c r="H74" s="12"/>
      <x:c r="I74" s="12"/>
      <x:c r="J74" s="12"/>
      <x:c r="K74" s="16"/>
      <x:c r="L74" s="11"/>
      <x:c r="M74" s="11"/>
      <x:c r="N74" s="11"/>
      <x:c r="O74" s="11"/>
      <x:c r="P74" s="11"/>
      <x:c r="Q74" s="14"/>
      <x:c r="R74" s="11"/>
    </x:row>
    <x:row r="75" ht="60" customHeight="1">
      <x:c r="A75" s="11"/>
      <x:c r="B75" s="11"/>
      <x:c r="C75" s="11"/>
      <x:c r="D75" s="11"/>
      <x:c r="E75" s="11"/>
      <x:c r="F75" s="12"/>
      <x:c r="G75" s="12"/>
      <x:c r="H75" s="12"/>
      <x:c r="I75" s="12"/>
      <x:c r="J75" s="12"/>
      <x:c r="K75" s="16"/>
      <x:c r="L75" s="11"/>
      <x:c r="M75" s="11"/>
      <x:c r="N75" s="11"/>
      <x:c r="O75" s="11"/>
      <x:c r="P75" s="11"/>
      <x:c r="Q75" s="14"/>
      <x:c r="R75" s="11"/>
    </x:row>
    <x:row r="76" ht="60" customHeight="1">
      <x:c r="A76" s="11"/>
      <x:c r="B76" s="11"/>
      <x:c r="C76" s="11"/>
      <x:c r="D76" s="11"/>
      <x:c r="E76" s="11"/>
      <x:c r="F76" s="12"/>
      <x:c r="G76" s="12"/>
      <x:c r="H76" s="12"/>
      <x:c r="I76" s="12"/>
      <x:c r="J76" s="12"/>
      <x:c r="K76" s="16"/>
      <x:c r="L76" s="11"/>
      <x:c r="M76" s="11"/>
      <x:c r="N76" s="11"/>
      <x:c r="O76" s="11"/>
      <x:c r="P76" s="11"/>
      <x:c r="Q76" s="14"/>
      <x:c r="R76" s="11"/>
    </x:row>
    <x:row r="77" ht="60" customHeight="1">
      <x:c r="A77" s="11"/>
      <x:c r="B77" s="11"/>
      <x:c r="C77" s="11"/>
      <x:c r="D77" s="11"/>
      <x:c r="E77" s="11"/>
      <x:c r="F77" s="12"/>
      <x:c r="G77" s="12"/>
      <x:c r="H77" s="12"/>
      <x:c r="I77" s="12"/>
      <x:c r="J77" s="12"/>
      <x:c r="K77" s="16"/>
      <x:c r="L77" s="11"/>
      <x:c r="M77" s="11"/>
      <x:c r="N77" s="11"/>
      <x:c r="O77" s="11"/>
      <x:c r="P77" s="11"/>
      <x:c r="Q77" s="14"/>
      <x:c r="R77" s="11"/>
    </x:row>
    <x:row r="78" ht="60" customHeight="1">
      <x:c r="A78" s="11"/>
      <x:c r="B78" s="11"/>
      <x:c r="C78" s="11"/>
      <x:c r="D78" s="11"/>
      <x:c r="E78" s="11"/>
      <x:c r="F78" s="12"/>
      <x:c r="G78" s="12"/>
      <x:c r="H78" s="12"/>
      <x:c r="I78" s="12"/>
      <x:c r="J78" s="12"/>
      <x:c r="K78" s="16"/>
      <x:c r="L78" s="11"/>
      <x:c r="M78" s="11"/>
      <x:c r="N78" s="11"/>
      <x:c r="O78" s="11"/>
      <x:c r="P78" s="11"/>
      <x:c r="Q78" s="14"/>
      <x:c r="R78" s="11"/>
    </x:row>
    <x:row r="79" ht="60" customHeight="1">
      <x:c r="A79" s="11"/>
      <x:c r="B79" s="11"/>
      <x:c r="C79" s="11"/>
      <x:c r="D79" s="11"/>
      <x:c r="E79" s="11"/>
      <x:c r="F79" s="12"/>
      <x:c r="G79" s="12"/>
      <x:c r="H79" s="12"/>
      <x:c r="I79" s="12"/>
      <x:c r="J79" s="12"/>
      <x:c r="K79" s="16"/>
      <x:c r="L79" s="11"/>
      <x:c r="M79" s="11"/>
      <x:c r="N79" s="11"/>
      <x:c r="O79" s="11"/>
      <x:c r="P79" s="11"/>
      <x:c r="Q79" s="14"/>
      <x:c r="R79" s="11"/>
    </x:row>
    <x:row r="80" ht="60" customHeight="1">
      <x:c r="A80" s="11"/>
      <x:c r="B80" s="11"/>
      <x:c r="C80" s="11"/>
      <x:c r="D80" s="11"/>
      <x:c r="E80" s="11"/>
      <x:c r="F80" s="12"/>
      <x:c r="G80" s="12"/>
      <x:c r="H80" s="12"/>
      <x:c r="I80" s="12"/>
      <x:c r="J80" s="12"/>
      <x:c r="K80" s="16"/>
      <x:c r="L80" s="11"/>
      <x:c r="M80" s="11"/>
      <x:c r="N80" s="11"/>
      <x:c r="O80" s="11"/>
      <x:c r="P80" s="11"/>
      <x:c r="Q80" s="14"/>
      <x:c r="R80" s="11"/>
    </x:row>
    <x:row r="81" ht="60" customHeight="1">
      <x:c r="A81" s="11"/>
      <x:c r="B81" s="11"/>
      <x:c r="C81" s="11"/>
      <x:c r="D81" s="11"/>
      <x:c r="E81" s="11"/>
      <x:c r="F81" s="12"/>
      <x:c r="G81" s="12"/>
      <x:c r="H81" s="12"/>
      <x:c r="I81" s="12"/>
      <x:c r="J81" s="12"/>
      <x:c r="K81" s="16"/>
      <x:c r="L81" s="11"/>
      <x:c r="M81" s="11"/>
      <x:c r="N81" s="11"/>
      <x:c r="O81" s="11"/>
      <x:c r="P81" s="11"/>
      <x:c r="Q81" s="14"/>
      <x:c r="R81" s="11"/>
    </x:row>
    <x:row r="82" ht="60" customHeight="1">
      <x:c r="A82" s="11"/>
      <x:c r="B82" s="11"/>
      <x:c r="C82" s="11"/>
      <x:c r="D82" s="11"/>
      <x:c r="E82" s="11"/>
      <x:c r="F82" s="12"/>
      <x:c r="G82" s="12"/>
      <x:c r="H82" s="12"/>
      <x:c r="I82" s="12"/>
      <x:c r="J82" s="12"/>
      <x:c r="K82" s="16"/>
      <x:c r="L82" s="11"/>
      <x:c r="M82" s="11"/>
      <x:c r="N82" s="11"/>
      <x:c r="O82" s="11"/>
      <x:c r="P82" s="11"/>
      <x:c r="Q82" s="14"/>
      <x:c r="R82" s="11"/>
    </x:row>
    <x:row r="83" ht="60" customHeight="1">
      <x:c r="A83" s="11"/>
      <x:c r="B83" s="11"/>
      <x:c r="C83" s="11"/>
      <x:c r="D83" s="11"/>
      <x:c r="E83" s="11"/>
      <x:c r="F83" s="12"/>
      <x:c r="G83" s="12"/>
      <x:c r="H83" s="12"/>
      <x:c r="I83" s="12"/>
      <x:c r="J83" s="12"/>
      <x:c r="K83" s="16"/>
      <x:c r="L83" s="11"/>
      <x:c r="M83" s="11"/>
      <x:c r="N83" s="11"/>
      <x:c r="O83" s="11"/>
      <x:c r="P83" s="11"/>
      <x:c r="Q83" s="14"/>
      <x:c r="R83" s="11"/>
    </x:row>
    <x:row r="84" ht="60" customHeight="1">
      <x:c r="A84" s="11"/>
      <x:c r="B84" s="11"/>
      <x:c r="C84" s="11"/>
      <x:c r="D84" s="11"/>
      <x:c r="E84" s="11"/>
      <x:c r="F84" s="12"/>
      <x:c r="G84" s="12"/>
      <x:c r="H84" s="12"/>
      <x:c r="I84" s="12"/>
      <x:c r="J84" s="12"/>
      <x:c r="K84" s="16"/>
      <x:c r="L84" s="11"/>
      <x:c r="M84" s="11"/>
      <x:c r="N84" s="11"/>
      <x:c r="O84" s="11"/>
      <x:c r="P84" s="11"/>
      <x:c r="Q84" s="14"/>
      <x:c r="R84" s="11"/>
    </x:row>
    <x:row r="85" ht="60" customHeight="1">
      <x:c r="A85" s="11"/>
      <x:c r="B85" s="11"/>
      <x:c r="C85" s="11"/>
      <x:c r="D85" s="11"/>
      <x:c r="E85" s="11"/>
      <x:c r="F85" s="12"/>
      <x:c r="G85" s="12"/>
      <x:c r="H85" s="12"/>
      <x:c r="I85" s="12"/>
      <x:c r="J85" s="12"/>
      <x:c r="K85" s="16"/>
      <x:c r="L85" s="11"/>
      <x:c r="M85" s="11"/>
      <x:c r="N85" s="11"/>
      <x:c r="O85" s="11"/>
      <x:c r="P85" s="11"/>
      <x:c r="Q85" s="14"/>
      <x:c r="R85" s="11"/>
    </x:row>
    <x:row r="86" ht="60" customHeight="1">
      <x:c r="A86" s="11"/>
      <x:c r="B86" s="11"/>
      <x:c r="C86" s="11"/>
      <x:c r="D86" s="11"/>
      <x:c r="E86" s="11"/>
      <x:c r="F86" s="12"/>
      <x:c r="G86" s="12"/>
      <x:c r="H86" s="12"/>
      <x:c r="I86" s="12"/>
      <x:c r="J86" s="12"/>
      <x:c r="K86" s="16"/>
      <x:c r="L86" s="11"/>
      <x:c r="M86" s="11"/>
      <x:c r="N86" s="11"/>
      <x:c r="O86" s="11"/>
      <x:c r="P86" s="11"/>
      <x:c r="Q86" s="14"/>
      <x:c r="R86" s="11"/>
    </x:row>
    <x:row r="87" ht="60" customHeight="1">
      <x:c r="A87" s="11"/>
      <x:c r="B87" s="11"/>
      <x:c r="C87" s="11"/>
      <x:c r="D87" s="11"/>
      <x:c r="E87" s="11"/>
      <x:c r="F87" s="12"/>
      <x:c r="G87" s="12"/>
      <x:c r="H87" s="12"/>
      <x:c r="I87" s="12"/>
      <x:c r="J87" s="12"/>
      <x:c r="K87" s="16"/>
      <x:c r="L87" s="11"/>
      <x:c r="M87" s="11"/>
      <x:c r="N87" s="11"/>
      <x:c r="O87" s="11"/>
      <x:c r="P87" s="11"/>
      <x:c r="Q87" s="14"/>
      <x:c r="R87" s="11"/>
    </x:row>
    <x:row r="88" ht="60" customHeight="1">
      <x:c r="A88" s="11"/>
      <x:c r="B88" s="11"/>
      <x:c r="C88" s="11"/>
      <x:c r="D88" s="11"/>
      <x:c r="E88" s="11"/>
      <x:c r="F88" s="12"/>
      <x:c r="G88" s="12"/>
      <x:c r="H88" s="12"/>
      <x:c r="I88" s="12"/>
      <x:c r="J88" s="12"/>
      <x:c r="K88" s="16"/>
      <x:c r="L88" s="11"/>
      <x:c r="M88" s="11"/>
      <x:c r="N88" s="11"/>
      <x:c r="O88" s="11"/>
      <x:c r="P88" s="11"/>
      <x:c r="Q88" s="14"/>
      <x:c r="R88" s="11"/>
    </x:row>
    <x:row r="89" ht="60" customHeight="1">
      <x:c r="A89" s="11"/>
      <x:c r="B89" s="11"/>
      <x:c r="C89" s="11"/>
      <x:c r="D89" s="11"/>
      <x:c r="E89" s="11"/>
      <x:c r="F89" s="12"/>
      <x:c r="G89" s="12"/>
      <x:c r="H89" s="12"/>
      <x:c r="I89" s="12"/>
      <x:c r="J89" s="12"/>
      <x:c r="K89" s="16"/>
      <x:c r="L89" s="11"/>
      <x:c r="M89" s="11"/>
      <x:c r="N89" s="11"/>
      <x:c r="O89" s="11"/>
      <x:c r="P89" s="11"/>
      <x:c r="Q89" s="14"/>
      <x:c r="R89" s="11"/>
    </x:row>
    <x:row r="90" ht="60" customHeight="1">
      <x:c r="A90" s="11"/>
      <x:c r="B90" s="11"/>
      <x:c r="C90" s="11"/>
      <x:c r="D90" s="11"/>
      <x:c r="E90" s="11"/>
      <x:c r="F90" s="12"/>
      <x:c r="G90" s="12"/>
      <x:c r="H90" s="12"/>
      <x:c r="I90" s="12"/>
      <x:c r="J90" s="12"/>
      <x:c r="K90" s="16"/>
      <x:c r="L90" s="11"/>
      <x:c r="M90" s="11"/>
      <x:c r="N90" s="11"/>
      <x:c r="O90" s="11"/>
      <x:c r="P90" s="11"/>
      <x:c r="Q90" s="14"/>
      <x:c r="R90" s="11"/>
    </x:row>
    <x:row r="91" ht="60" customHeight="1">
      <x:c r="A91" s="11"/>
      <x:c r="B91" s="11"/>
      <x:c r="C91" s="11"/>
      <x:c r="D91" s="11"/>
      <x:c r="E91" s="11"/>
      <x:c r="F91" s="12"/>
      <x:c r="G91" s="12"/>
      <x:c r="H91" s="12"/>
      <x:c r="I91" s="12"/>
      <x:c r="J91" s="12"/>
      <x:c r="K91" s="16"/>
      <x:c r="L91" s="11"/>
      <x:c r="M91" s="11"/>
      <x:c r="N91" s="11"/>
      <x:c r="O91" s="11"/>
      <x:c r="P91" s="11"/>
      <x:c r="Q91" s="14"/>
      <x:c r="R91" s="11"/>
    </x:row>
    <x:row r="92" ht="60" customHeight="1">
      <x:c r="A92" s="11"/>
      <x:c r="B92" s="11"/>
      <x:c r="C92" s="11"/>
      <x:c r="D92" s="11"/>
      <x:c r="E92" s="11"/>
      <x:c r="F92" s="12"/>
      <x:c r="G92" s="12"/>
      <x:c r="H92" s="12"/>
      <x:c r="I92" s="12"/>
      <x:c r="J92" s="12"/>
      <x:c r="K92" s="16"/>
      <x:c r="L92" s="11"/>
      <x:c r="M92" s="11"/>
      <x:c r="N92" s="11"/>
      <x:c r="O92" s="11"/>
      <x:c r="P92" s="11"/>
      <x:c r="Q92" s="14"/>
      <x:c r="R92" s="11"/>
    </x:row>
    <x:row r="93" ht="60" customHeight="1">
      <x:c r="A93" s="11"/>
      <x:c r="B93" s="11"/>
      <x:c r="C93" s="11"/>
      <x:c r="D93" s="11"/>
      <x:c r="E93" s="11"/>
      <x:c r="F93" s="12"/>
      <x:c r="G93" s="12"/>
      <x:c r="H93" s="12"/>
      <x:c r="I93" s="12"/>
      <x:c r="J93" s="12"/>
      <x:c r="K93" s="16"/>
      <x:c r="L93" s="11"/>
      <x:c r="M93" s="11"/>
      <x:c r="N93" s="11"/>
      <x:c r="O93" s="11"/>
      <x:c r="P93" s="11"/>
      <x:c r="Q93" s="14"/>
      <x:c r="R93" s="11"/>
    </x:row>
    <x:row r="94" ht="60" customHeight="1">
      <x:c r="A94" s="11"/>
      <x:c r="B94" s="11"/>
      <x:c r="C94" s="11"/>
      <x:c r="D94" s="11"/>
      <x:c r="E94" s="11"/>
      <x:c r="F94" s="12"/>
      <x:c r="G94" s="12"/>
      <x:c r="H94" s="12"/>
      <x:c r="I94" s="12"/>
      <x:c r="J94" s="12"/>
      <x:c r="K94" s="16"/>
      <x:c r="L94" s="11"/>
      <x:c r="M94" s="11"/>
      <x:c r="N94" s="11"/>
      <x:c r="O94" s="11"/>
      <x:c r="P94" s="11"/>
      <x:c r="Q94" s="14"/>
      <x:c r="R94" s="11"/>
    </x:row>
    <x:row r="95" ht="60" customHeight="1">
      <x:c r="A95" s="11"/>
      <x:c r="B95" s="11"/>
      <x:c r="C95" s="11"/>
      <x:c r="D95" s="11"/>
      <x:c r="E95" s="11"/>
      <x:c r="F95" s="12"/>
      <x:c r="G95" s="12"/>
      <x:c r="H95" s="12"/>
      <x:c r="I95" s="12"/>
      <x:c r="J95" s="12"/>
      <x:c r="K95" s="16"/>
      <x:c r="L95" s="11"/>
      <x:c r="M95" s="11"/>
      <x:c r="N95" s="11"/>
      <x:c r="O95" s="11"/>
      <x:c r="P95" s="11"/>
      <x:c r="Q95" s="14"/>
      <x:c r="R95" s="11"/>
    </x:row>
    <x:row r="96" ht="60" customHeight="1">
      <x:c r="A96" s="11"/>
      <x:c r="B96" s="11"/>
      <x:c r="C96" s="11"/>
      <x:c r="D96" s="11"/>
      <x:c r="E96" s="11"/>
      <x:c r="F96" s="12"/>
      <x:c r="G96" s="12"/>
      <x:c r="H96" s="12"/>
      <x:c r="I96" s="12"/>
      <x:c r="J96" s="12"/>
      <x:c r="K96" s="16"/>
      <x:c r="L96" s="11"/>
      <x:c r="M96" s="11"/>
      <x:c r="N96" s="11"/>
      <x:c r="O96" s="11"/>
      <x:c r="P96" s="11"/>
      <x:c r="Q96" s="14"/>
      <x:c r="R96" s="11"/>
    </x:row>
    <x:row r="97" ht="60" customHeight="1">
      <x:c r="A97" s="11"/>
      <x:c r="B97" s="11"/>
      <x:c r="C97" s="11"/>
      <x:c r="D97" s="11"/>
      <x:c r="E97" s="11"/>
      <x:c r="F97" s="12"/>
      <x:c r="G97" s="12"/>
      <x:c r="H97" s="12"/>
      <x:c r="I97" s="12"/>
      <x:c r="J97" s="12"/>
      <x:c r="K97" s="16"/>
      <x:c r="L97" s="11"/>
      <x:c r="M97" s="11"/>
      <x:c r="N97" s="11"/>
      <x:c r="O97" s="11"/>
      <x:c r="P97" s="11"/>
      <x:c r="Q97" s="14"/>
      <x:c r="R97" s="11"/>
    </x:row>
    <x:row r="98" ht="60" customHeight="1">
      <x:c r="A98" s="11"/>
      <x:c r="B98" s="11"/>
      <x:c r="C98" s="11"/>
      <x:c r="D98" s="11"/>
      <x:c r="E98" s="11"/>
      <x:c r="F98" s="12"/>
      <x:c r="G98" s="12"/>
      <x:c r="H98" s="12"/>
      <x:c r="I98" s="12"/>
      <x:c r="J98" s="12"/>
      <x:c r="K98" s="16"/>
      <x:c r="L98" s="11"/>
      <x:c r="M98" s="11"/>
      <x:c r="N98" s="11"/>
      <x:c r="O98" s="11"/>
      <x:c r="P98" s="11"/>
      <x:c r="Q98" s="14"/>
      <x:c r="R98" s="11"/>
    </x:row>
    <x:row r="99" ht="60" customHeight="1">
      <x:c r="A99" s="11"/>
      <x:c r="B99" s="11"/>
      <x:c r="C99" s="11"/>
      <x:c r="D99" s="11"/>
      <x:c r="E99" s="11"/>
      <x:c r="F99" s="12"/>
      <x:c r="G99" s="12"/>
      <x:c r="H99" s="12"/>
      <x:c r="I99" s="12"/>
      <x:c r="J99" s="12"/>
      <x:c r="K99" s="16"/>
      <x:c r="L99" s="11"/>
      <x:c r="M99" s="11"/>
      <x:c r="N99" s="11"/>
      <x:c r="O99" s="11"/>
      <x:c r="P99" s="11"/>
      <x:c r="Q99" s="14"/>
      <x:c r="R99" s="11"/>
    </x:row>
    <x:row r="100" ht="60" customHeight="1">
      <x:c r="A100" s="11"/>
      <x:c r="B100" s="11"/>
      <x:c r="C100" s="11"/>
      <x:c r="D100" s="11"/>
      <x:c r="E100" s="11"/>
      <x:c r="F100" s="12"/>
      <x:c r="G100" s="12"/>
      <x:c r="H100" s="12"/>
      <x:c r="I100" s="12"/>
      <x:c r="J100" s="12"/>
      <x:c r="K100" s="16"/>
      <x:c r="L100" s="11"/>
      <x:c r="M100" s="11"/>
      <x:c r="N100" s="11"/>
      <x:c r="O100" s="11"/>
      <x:c r="P100" s="11"/>
      <x:c r="Q100" s="14"/>
      <x:c r="R100" s="11"/>
    </x:row>
    <x:row r="101" ht="60" customHeight="1">
      <x:c r="A101" s="11"/>
      <x:c r="B101" s="11"/>
      <x:c r="C101" s="11"/>
      <x:c r="D101" s="11"/>
      <x:c r="E101" s="11"/>
      <x:c r="F101" s="12"/>
      <x:c r="G101" s="12"/>
      <x:c r="H101" s="12"/>
      <x:c r="I101" s="12"/>
      <x:c r="J101" s="12"/>
      <x:c r="K101" s="16"/>
      <x:c r="L101" s="11"/>
      <x:c r="M101" s="11"/>
      <x:c r="N101" s="11"/>
      <x:c r="O101" s="11"/>
      <x:c r="P101" s="11"/>
      <x:c r="Q101" s="14"/>
      <x:c r="R101" s="11"/>
    </x:row>
    <x:row r="102" ht="60" customHeight="1">
      <x:c r="A102" s="11"/>
      <x:c r="B102" s="11"/>
      <x:c r="C102" s="11"/>
      <x:c r="D102" s="11"/>
      <x:c r="E102" s="11"/>
      <x:c r="F102" s="12"/>
      <x:c r="G102" s="12"/>
      <x:c r="H102" s="12"/>
      <x:c r="I102" s="12"/>
      <x:c r="J102" s="12"/>
      <x:c r="K102" s="16"/>
      <x:c r="L102" s="11"/>
      <x:c r="M102" s="11"/>
      <x:c r="N102" s="11"/>
      <x:c r="O102" s="11"/>
      <x:c r="P102" s="11"/>
      <x:c r="Q102" s="14"/>
      <x:c r="R102" s="11"/>
    </x:row>
    <x:row r="103" ht="60" customHeight="1">
      <x:c r="A103" s="11"/>
      <x:c r="B103" s="11"/>
      <x:c r="C103" s="11"/>
      <x:c r="D103" s="11"/>
      <x:c r="E103" s="11"/>
      <x:c r="F103" s="12"/>
      <x:c r="G103" s="12"/>
      <x:c r="H103" s="12"/>
      <x:c r="I103" s="12"/>
      <x:c r="J103" s="12"/>
      <x:c r="K103" s="16"/>
      <x:c r="L103" s="11"/>
      <x:c r="M103" s="11"/>
      <x:c r="N103" s="11"/>
      <x:c r="O103" s="11"/>
      <x:c r="P103" s="11"/>
      <x:c r="Q103" s="14"/>
      <x:c r="R103" s="11"/>
    </x:row>
    <x:row r="104" ht="60" customHeight="1">
      <x:c r="A104" s="11"/>
      <x:c r="B104" s="11"/>
      <x:c r="C104" s="11"/>
      <x:c r="D104" s="11"/>
      <x:c r="E104" s="11"/>
      <x:c r="F104" s="12"/>
      <x:c r="G104" s="12"/>
      <x:c r="H104" s="12"/>
      <x:c r="I104" s="12"/>
      <x:c r="J104" s="12"/>
      <x:c r="K104" s="16"/>
      <x:c r="L104" s="11"/>
      <x:c r="M104" s="11"/>
      <x:c r="N104" s="11"/>
      <x:c r="O104" s="11"/>
      <x:c r="P104" s="11"/>
      <x:c r="Q104" s="14"/>
      <x:c r="R104" s="11"/>
    </x:row>
    <x:row r="105" ht="60" customHeight="1">
      <x:c r="A105" s="11"/>
      <x:c r="B105" s="11"/>
      <x:c r="C105" s="11"/>
      <x:c r="D105" s="11"/>
      <x:c r="E105" s="11"/>
      <x:c r="F105" s="12"/>
      <x:c r="G105" s="12"/>
      <x:c r="H105" s="12"/>
      <x:c r="I105" s="12"/>
      <x:c r="J105" s="12"/>
      <x:c r="K105" s="16"/>
      <x:c r="L105" s="11"/>
      <x:c r="M105" s="11"/>
      <x:c r="N105" s="11"/>
      <x:c r="O105" s="11"/>
      <x:c r="P105" s="11"/>
      <x:c r="Q105" s="14"/>
      <x:c r="R105" s="11"/>
    </x:row>
    <x:row r="106" ht="60" customHeight="1">
      <x:c r="A106" s="11"/>
      <x:c r="B106" s="11"/>
      <x:c r="C106" s="11"/>
      <x:c r="D106" s="11"/>
      <x:c r="E106" s="11"/>
      <x:c r="F106" s="12"/>
      <x:c r="G106" s="12"/>
      <x:c r="H106" s="12"/>
      <x:c r="I106" s="12"/>
      <x:c r="J106" s="12"/>
      <x:c r="K106" s="16"/>
      <x:c r="L106" s="11"/>
      <x:c r="M106" s="11"/>
      <x:c r="N106" s="11"/>
      <x:c r="O106" s="11"/>
      <x:c r="P106" s="11"/>
      <x:c r="Q106" s="14"/>
      <x:c r="R106" s="11"/>
    </x:row>
    <x:row r="107" ht="60" customHeight="1">
      <x:c r="A107" s="11"/>
      <x:c r="B107" s="11"/>
      <x:c r="C107" s="11"/>
      <x:c r="D107" s="11"/>
      <x:c r="E107" s="11"/>
      <x:c r="F107" s="12"/>
      <x:c r="G107" s="12"/>
      <x:c r="H107" s="12"/>
      <x:c r="I107" s="12"/>
      <x:c r="J107" s="12"/>
      <x:c r="K107" s="16"/>
      <x:c r="L107" s="11"/>
      <x:c r="M107" s="11"/>
      <x:c r="N107" s="11"/>
      <x:c r="O107" s="11"/>
      <x:c r="P107" s="11"/>
      <x:c r="Q107" s="14"/>
      <x:c r="R107" s="11"/>
    </x:row>
    <x:row r="108" ht="60" customHeight="1">
      <x:c r="A108" s="11"/>
      <x:c r="B108" s="11"/>
      <x:c r="C108" s="11"/>
      <x:c r="D108" s="11"/>
      <x:c r="E108" s="11"/>
      <x:c r="F108" s="12"/>
      <x:c r="G108" s="12"/>
      <x:c r="H108" s="12"/>
      <x:c r="I108" s="12"/>
      <x:c r="J108" s="12"/>
      <x:c r="K108" s="16"/>
      <x:c r="L108" s="11"/>
      <x:c r="M108" s="11"/>
      <x:c r="N108" s="11"/>
      <x:c r="O108" s="11"/>
      <x:c r="P108" s="11"/>
      <x:c r="Q108" s="14"/>
      <x:c r="R108" s="11"/>
    </x:row>
    <x:row r="109" ht="60" customHeight="1">
      <x:c r="A109" s="11"/>
      <x:c r="B109" s="11"/>
      <x:c r="C109" s="11"/>
      <x:c r="D109" s="11"/>
      <x:c r="E109" s="11"/>
      <x:c r="F109" s="12"/>
      <x:c r="G109" s="12"/>
      <x:c r="H109" s="12"/>
      <x:c r="I109" s="12"/>
      <x:c r="J109" s="12"/>
      <x:c r="K109" s="16"/>
      <x:c r="L109" s="11"/>
      <x:c r="M109" s="11"/>
      <x:c r="N109" s="11"/>
      <x:c r="O109" s="11"/>
      <x:c r="P109" s="11"/>
      <x:c r="Q109" s="14"/>
      <x:c r="R109" s="11"/>
    </x:row>
    <x:row r="110" ht="60" customHeight="1">
      <x:c r="A110" s="11"/>
      <x:c r="B110" s="11"/>
      <x:c r="C110" s="11"/>
      <x:c r="D110" s="11"/>
      <x:c r="E110" s="11"/>
      <x:c r="F110" s="12"/>
      <x:c r="G110" s="12"/>
      <x:c r="H110" s="12"/>
      <x:c r="I110" s="12"/>
      <x:c r="J110" s="12"/>
      <x:c r="K110" s="16"/>
      <x:c r="L110" s="11"/>
      <x:c r="M110" s="11"/>
      <x:c r="N110" s="11"/>
      <x:c r="O110" s="11"/>
      <x:c r="P110" s="11"/>
      <x:c r="Q110" s="14"/>
      <x:c r="R110" s="11"/>
    </x:row>
    <x:row r="111" ht="60" customHeight="1">
      <x:c r="A111" s="11"/>
      <x:c r="B111" s="11"/>
      <x:c r="C111" s="11"/>
      <x:c r="D111" s="11"/>
      <x:c r="E111" s="11"/>
      <x:c r="F111" s="12"/>
      <x:c r="G111" s="12"/>
      <x:c r="H111" s="12"/>
      <x:c r="I111" s="12"/>
      <x:c r="J111" s="12"/>
      <x:c r="K111" s="16"/>
      <x:c r="L111" s="11"/>
      <x:c r="M111" s="11"/>
      <x:c r="N111" s="11"/>
      <x:c r="O111" s="11"/>
      <x:c r="P111" s="11"/>
      <x:c r="Q111" s="14"/>
      <x:c r="R111" s="11"/>
    </x:row>
    <x:row r="112" ht="60" customHeight="1">
      <x:c r="A112" s="11"/>
      <x:c r="B112" s="11"/>
      <x:c r="C112" s="11"/>
      <x:c r="D112" s="11"/>
      <x:c r="E112" s="11"/>
      <x:c r="F112" s="12"/>
      <x:c r="G112" s="12"/>
      <x:c r="H112" s="12"/>
      <x:c r="I112" s="12"/>
      <x:c r="J112" s="12"/>
      <x:c r="K112" s="16"/>
      <x:c r="L112" s="11"/>
      <x:c r="M112" s="11"/>
      <x:c r="N112" s="11"/>
      <x:c r="O112" s="11"/>
      <x:c r="P112" s="11"/>
      <x:c r="Q112" s="14"/>
      <x:c r="R112" s="11"/>
    </x:row>
    <x:row r="113" ht="60" customHeight="1">
      <x:c r="A113" s="11"/>
      <x:c r="B113" s="11"/>
      <x:c r="C113" s="11"/>
      <x:c r="D113" s="11"/>
      <x:c r="E113" s="11"/>
      <x:c r="F113" s="12"/>
      <x:c r="G113" s="12"/>
      <x:c r="H113" s="12"/>
      <x:c r="I113" s="12"/>
      <x:c r="J113" s="12"/>
      <x:c r="K113" s="16"/>
      <x:c r="L113" s="11"/>
      <x:c r="M113" s="11"/>
      <x:c r="N113" s="11"/>
      <x:c r="O113" s="11"/>
      <x:c r="P113" s="11"/>
      <x:c r="Q113" s="14"/>
      <x:c r="R113" s="11"/>
    </x:row>
    <x:row r="114" ht="60" customHeight="1">
      <x:c r="A114" s="11"/>
      <x:c r="B114" s="11"/>
      <x:c r="C114" s="11"/>
      <x:c r="D114" s="11"/>
      <x:c r="E114" s="11"/>
      <x:c r="F114" s="12"/>
      <x:c r="G114" s="12"/>
      <x:c r="H114" s="12"/>
      <x:c r="I114" s="12"/>
      <x:c r="J114" s="12"/>
      <x:c r="K114" s="16"/>
      <x:c r="L114" s="11"/>
      <x:c r="M114" s="11"/>
      <x:c r="N114" s="11"/>
      <x:c r="O114" s="11"/>
      <x:c r="P114" s="11"/>
      <x:c r="Q114" s="14"/>
      <x:c r="R114" s="11"/>
    </x:row>
    <x:row r="115" ht="60" customHeight="1">
      <x:c r="A115" s="11"/>
      <x:c r="B115" s="11"/>
      <x:c r="C115" s="11"/>
      <x:c r="D115" s="11"/>
      <x:c r="E115" s="11"/>
      <x:c r="F115" s="12"/>
      <x:c r="G115" s="12"/>
      <x:c r="H115" s="12"/>
      <x:c r="I115" s="12"/>
      <x:c r="J115" s="12"/>
      <x:c r="K115" s="16"/>
      <x:c r="L115" s="11"/>
      <x:c r="M115" s="11"/>
      <x:c r="N115" s="11"/>
      <x:c r="O115" s="11"/>
      <x:c r="P115" s="11"/>
      <x:c r="Q115" s="14"/>
      <x:c r="R115" s="11"/>
    </x:row>
    <x:row r="116" ht="60" customHeight="1">
      <x:c r="A116" s="11"/>
      <x:c r="B116" s="11"/>
      <x:c r="C116" s="11"/>
      <x:c r="D116" s="11"/>
      <x:c r="E116" s="11"/>
      <x:c r="F116" s="12"/>
      <x:c r="G116" s="12"/>
      <x:c r="H116" s="12"/>
      <x:c r="I116" s="12"/>
      <x:c r="J116" s="12"/>
      <x:c r="K116" s="16"/>
      <x:c r="L116" s="11"/>
      <x:c r="M116" s="11"/>
      <x:c r="N116" s="11"/>
      <x:c r="O116" s="11"/>
      <x:c r="P116" s="11"/>
      <x:c r="Q116" s="14"/>
      <x:c r="R116" s="11"/>
    </x:row>
    <x:row r="117" ht="60" customHeight="1">
      <x:c r="A117" s="11"/>
      <x:c r="B117" s="11"/>
      <x:c r="C117" s="11"/>
      <x:c r="D117" s="11"/>
      <x:c r="E117" s="11"/>
      <x:c r="F117" s="12"/>
      <x:c r="G117" s="12"/>
      <x:c r="H117" s="12"/>
      <x:c r="I117" s="12"/>
      <x:c r="J117" s="12"/>
      <x:c r="K117" s="16"/>
      <x:c r="L117" s="11"/>
      <x:c r="M117" s="11"/>
      <x:c r="N117" s="11"/>
      <x:c r="O117" s="11"/>
      <x:c r="P117" s="11"/>
      <x:c r="Q117" s="14"/>
      <x:c r="R117" s="11"/>
    </x:row>
    <x:row r="118" ht="60" customHeight="1">
      <x:c r="A118" s="11"/>
      <x:c r="B118" s="11"/>
      <x:c r="C118" s="11"/>
      <x:c r="D118" s="11"/>
      <x:c r="E118" s="11"/>
      <x:c r="F118" s="12"/>
      <x:c r="G118" s="12"/>
      <x:c r="H118" s="12"/>
      <x:c r="I118" s="12"/>
      <x:c r="J118" s="12"/>
      <x:c r="K118" s="16"/>
      <x:c r="L118" s="11"/>
      <x:c r="M118" s="11"/>
      <x:c r="N118" s="11"/>
      <x:c r="O118" s="11"/>
      <x:c r="P118" s="11"/>
      <x:c r="Q118" s="14"/>
      <x:c r="R118" s="11"/>
    </x:row>
    <x:row r="119" ht="60" customHeight="1">
      <x:c r="A119" s="11"/>
      <x:c r="B119" s="11"/>
      <x:c r="C119" s="11"/>
      <x:c r="D119" s="11"/>
      <x:c r="E119" s="11"/>
      <x:c r="F119" s="12"/>
      <x:c r="G119" s="12"/>
      <x:c r="H119" s="12"/>
      <x:c r="I119" s="12"/>
      <x:c r="J119" s="12"/>
      <x:c r="K119" s="16"/>
      <x:c r="L119" s="11"/>
      <x:c r="M119" s="11"/>
      <x:c r="N119" s="11"/>
      <x:c r="O119" s="11"/>
      <x:c r="P119" s="11"/>
      <x:c r="Q119" s="14"/>
      <x:c r="R119" s="11"/>
    </x:row>
    <x:row r="120" ht="60" customHeight="1">
      <x:c r="A120" s="11"/>
      <x:c r="B120" s="11"/>
      <x:c r="C120" s="11"/>
      <x:c r="D120" s="11"/>
      <x:c r="E120" s="11"/>
      <x:c r="F120" s="12"/>
      <x:c r="G120" s="12"/>
      <x:c r="H120" s="12"/>
      <x:c r="I120" s="12"/>
      <x:c r="J120" s="12"/>
      <x:c r="K120" s="16"/>
      <x:c r="L120" s="11"/>
      <x:c r="M120" s="11"/>
      <x:c r="N120" s="11"/>
      <x:c r="O120" s="11"/>
      <x:c r="P120" s="11"/>
      <x:c r="Q120" s="14"/>
      <x:c r="R120" s="11"/>
    </x:row>
    <x:row r="121" ht="60" customHeight="1">
      <x:c r="A121" s="11"/>
      <x:c r="B121" s="11"/>
      <x:c r="C121" s="11"/>
      <x:c r="D121" s="11"/>
      <x:c r="E121" s="11"/>
      <x:c r="F121" s="12"/>
      <x:c r="G121" s="12"/>
      <x:c r="H121" s="12"/>
      <x:c r="I121" s="12"/>
      <x:c r="J121" s="12"/>
      <x:c r="K121" s="16"/>
      <x:c r="L121" s="11"/>
      <x:c r="M121" s="11"/>
      <x:c r="N121" s="11"/>
      <x:c r="O121" s="11"/>
      <x:c r="P121" s="11"/>
      <x:c r="Q121" s="14"/>
      <x:c r="R121" s="11"/>
    </x:row>
    <x:row r="122" ht="60" customHeight="1">
      <x:c r="A122" s="11"/>
      <x:c r="B122" s="11"/>
      <x:c r="C122" s="11"/>
      <x:c r="D122" s="11"/>
      <x:c r="E122" s="11"/>
      <x:c r="F122" s="12"/>
      <x:c r="G122" s="12"/>
      <x:c r="H122" s="12"/>
      <x:c r="I122" s="12"/>
      <x:c r="J122" s="12"/>
      <x:c r="K122" s="16"/>
      <x:c r="L122" s="11"/>
      <x:c r="M122" s="11"/>
      <x:c r="N122" s="11"/>
      <x:c r="O122" s="11"/>
      <x:c r="P122" s="11"/>
      <x:c r="Q122" s="14"/>
      <x:c r="R122" s="11"/>
    </x:row>
    <x:row r="123" ht="60" customHeight="1">
      <x:c r="A123" s="11"/>
      <x:c r="B123" s="11"/>
      <x:c r="C123" s="11"/>
      <x:c r="D123" s="11"/>
      <x:c r="E123" s="11"/>
      <x:c r="F123" s="12"/>
      <x:c r="G123" s="12"/>
      <x:c r="H123" s="12"/>
      <x:c r="I123" s="12"/>
      <x:c r="J123" s="12"/>
      <x:c r="K123" s="16"/>
      <x:c r="L123" s="11"/>
      <x:c r="M123" s="11"/>
      <x:c r="N123" s="11"/>
      <x:c r="O123" s="11"/>
      <x:c r="P123" s="11"/>
      <x:c r="Q123" s="14"/>
      <x:c r="R123" s="11"/>
    </x:row>
    <x:row r="124" ht="60" customHeight="1">
      <x:c r="A124" s="11"/>
      <x:c r="B124" s="11"/>
      <x:c r="C124" s="11"/>
      <x:c r="D124" s="11"/>
      <x:c r="E124" s="11"/>
      <x:c r="F124" s="12"/>
      <x:c r="G124" s="12"/>
      <x:c r="H124" s="12"/>
      <x:c r="I124" s="12"/>
      <x:c r="J124" s="12"/>
      <x:c r="K124" s="16"/>
      <x:c r="L124" s="11"/>
      <x:c r="M124" s="11"/>
      <x:c r="N124" s="11"/>
      <x:c r="O124" s="11"/>
      <x:c r="P124" s="11"/>
      <x:c r="Q124" s="14"/>
      <x:c r="R124" s="11"/>
    </x:row>
    <x:row r="125" ht="60" customHeight="1">
      <x:c r="A125" s="11"/>
      <x:c r="B125" s="11"/>
      <x:c r="C125" s="11"/>
      <x:c r="D125" s="11"/>
      <x:c r="E125" s="11"/>
      <x:c r="F125" s="12"/>
      <x:c r="G125" s="12"/>
      <x:c r="H125" s="12"/>
      <x:c r="I125" s="12"/>
      <x:c r="J125" s="12"/>
      <x:c r="K125" s="16"/>
      <x:c r="L125" s="11"/>
      <x:c r="M125" s="11"/>
      <x:c r="N125" s="11"/>
      <x:c r="O125" s="11"/>
      <x:c r="P125" s="11"/>
      <x:c r="Q125" s="14"/>
      <x:c r="R125" s="11"/>
    </x:row>
    <x:row r="126" ht="60" customHeight="1">
      <x:c r="A126" s="11"/>
      <x:c r="B126" s="11"/>
      <x:c r="C126" s="11"/>
      <x:c r="D126" s="11"/>
      <x:c r="E126" s="11"/>
      <x:c r="F126" s="12"/>
      <x:c r="G126" s="12"/>
      <x:c r="H126" s="12"/>
      <x:c r="I126" s="12"/>
      <x:c r="J126" s="12"/>
      <x:c r="K126" s="16"/>
      <x:c r="L126" s="11"/>
      <x:c r="M126" s="11"/>
      <x:c r="N126" s="11"/>
      <x:c r="O126" s="11"/>
      <x:c r="P126" s="11"/>
      <x:c r="Q126" s="14"/>
      <x:c r="R126" s="11"/>
    </x:row>
    <x:row r="127" ht="60" customHeight="1">
      <x:c r="A127" s="11"/>
      <x:c r="B127" s="11"/>
      <x:c r="C127" s="11"/>
      <x:c r="D127" s="11"/>
      <x:c r="E127" s="11"/>
      <x:c r="F127" s="12"/>
      <x:c r="G127" s="12"/>
      <x:c r="H127" s="12"/>
      <x:c r="I127" s="12"/>
      <x:c r="J127" s="12"/>
      <x:c r="K127" s="16"/>
      <x:c r="L127" s="11"/>
      <x:c r="M127" s="11"/>
      <x:c r="N127" s="11"/>
      <x:c r="O127" s="11"/>
      <x:c r="P127" s="11"/>
      <x:c r="Q127" s="14"/>
      <x:c r="R127" s="11"/>
    </x:row>
    <x:row r="128" ht="60" customHeight="1">
      <x:c r="A128" s="11"/>
      <x:c r="B128" s="11"/>
      <x:c r="C128" s="11"/>
      <x:c r="D128" s="11"/>
      <x:c r="E128" s="11"/>
      <x:c r="F128" s="12"/>
      <x:c r="G128" s="12"/>
      <x:c r="H128" s="12"/>
      <x:c r="I128" s="12"/>
      <x:c r="J128" s="12"/>
      <x:c r="K128" s="16"/>
      <x:c r="L128" s="11"/>
      <x:c r="M128" s="11"/>
      <x:c r="N128" s="11"/>
      <x:c r="O128" s="11"/>
      <x:c r="P128" s="11"/>
      <x:c r="Q128" s="14"/>
      <x:c r="R128" s="11"/>
    </x:row>
    <x:row r="129" ht="60" customHeight="1">
      <x:c r="A129" s="11"/>
      <x:c r="B129" s="11"/>
      <x:c r="C129" s="11"/>
      <x:c r="D129" s="11"/>
      <x:c r="E129" s="11"/>
      <x:c r="F129" s="12"/>
      <x:c r="G129" s="12"/>
      <x:c r="H129" s="12"/>
      <x:c r="I129" s="12"/>
      <x:c r="J129" s="12"/>
      <x:c r="K129" s="16"/>
      <x:c r="L129" s="11"/>
      <x:c r="M129" s="11"/>
      <x:c r="N129" s="11"/>
      <x:c r="O129" s="11"/>
      <x:c r="P129" s="11"/>
      <x:c r="Q129" s="14"/>
      <x:c r="R129" s="11"/>
    </x:row>
    <x:row r="130" ht="60" customHeight="1">
      <x:c r="A130" s="11"/>
      <x:c r="B130" s="11"/>
      <x:c r="C130" s="11"/>
      <x:c r="D130" s="11"/>
      <x:c r="E130" s="11"/>
      <x:c r="F130" s="12"/>
      <x:c r="G130" s="12"/>
      <x:c r="H130" s="12"/>
      <x:c r="I130" s="12"/>
      <x:c r="J130" s="12"/>
      <x:c r="K130" s="16"/>
      <x:c r="L130" s="11"/>
      <x:c r="M130" s="11"/>
      <x:c r="N130" s="11"/>
      <x:c r="O130" s="11"/>
      <x:c r="P130" s="11"/>
      <x:c r="Q130" s="14"/>
      <x:c r="R130" s="11"/>
    </x:row>
    <x:row r="131" ht="60" customHeight="1">
      <x:c r="A131" s="11"/>
      <x:c r="B131" s="11"/>
      <x:c r="C131" s="11"/>
      <x:c r="D131" s="11"/>
      <x:c r="E131" s="11"/>
      <x:c r="F131" s="12"/>
      <x:c r="G131" s="12"/>
      <x:c r="H131" s="12"/>
      <x:c r="I131" s="12"/>
      <x:c r="J131" s="12"/>
      <x:c r="K131" s="16"/>
      <x:c r="L131" s="11"/>
      <x:c r="M131" s="11"/>
      <x:c r="N131" s="11"/>
      <x:c r="O131" s="11"/>
      <x:c r="P131" s="11"/>
      <x:c r="Q131" s="14"/>
      <x:c r="R131" s="11"/>
    </x:row>
    <x:row r="132" ht="60" customHeight="1">
      <x:c r="A132" s="11"/>
      <x:c r="B132" s="11"/>
      <x:c r="C132" s="11"/>
      <x:c r="D132" s="11"/>
      <x:c r="E132" s="11"/>
      <x:c r="F132" s="12"/>
      <x:c r="G132" s="12"/>
      <x:c r="H132" s="12"/>
      <x:c r="I132" s="12"/>
      <x:c r="J132" s="12"/>
      <x:c r="K132" s="16"/>
      <x:c r="L132" s="11"/>
      <x:c r="M132" s="11"/>
      <x:c r="N132" s="11"/>
      <x:c r="O132" s="11"/>
      <x:c r="P132" s="11"/>
      <x:c r="Q132" s="14"/>
      <x:c r="R132" s="11"/>
    </x:row>
    <x:row r="133" ht="60" customHeight="1">
      <x:c r="A133" s="11"/>
      <x:c r="B133" s="11"/>
      <x:c r="C133" s="11"/>
      <x:c r="D133" s="11"/>
      <x:c r="E133" s="11"/>
      <x:c r="F133" s="12"/>
      <x:c r="G133" s="12"/>
      <x:c r="H133" s="12"/>
      <x:c r="I133" s="12"/>
      <x:c r="J133" s="12"/>
      <x:c r="K133" s="16"/>
      <x:c r="L133" s="11"/>
      <x:c r="M133" s="11"/>
      <x:c r="N133" s="11"/>
      <x:c r="O133" s="11"/>
      <x:c r="P133" s="11"/>
      <x:c r="Q133" s="14"/>
      <x:c r="R133" s="11"/>
    </x:row>
    <x:row r="134" ht="60" customHeight="1">
      <x:c r="A134" s="11"/>
      <x:c r="B134" s="11"/>
      <x:c r="C134" s="11"/>
      <x:c r="D134" s="11"/>
      <x:c r="E134" s="11"/>
      <x:c r="F134" s="12"/>
      <x:c r="G134" s="12"/>
      <x:c r="H134" s="12"/>
      <x:c r="I134" s="12"/>
      <x:c r="J134" s="12"/>
      <x:c r="K134" s="16"/>
      <x:c r="L134" s="11"/>
      <x:c r="M134" s="11"/>
      <x:c r="N134" s="11"/>
      <x:c r="O134" s="11"/>
      <x:c r="P134" s="11"/>
      <x:c r="Q134" s="14"/>
      <x:c r="R134" s="11"/>
    </x:row>
    <x:row r="135" ht="60" customHeight="1">
      <x:c r="A135" s="11"/>
      <x:c r="B135" s="11"/>
      <x:c r="C135" s="11"/>
      <x:c r="D135" s="11"/>
      <x:c r="E135" s="11"/>
      <x:c r="F135" s="12"/>
      <x:c r="G135" s="12"/>
      <x:c r="H135" s="12"/>
      <x:c r="I135" s="12"/>
      <x:c r="J135" s="12"/>
      <x:c r="K135" s="16"/>
      <x:c r="L135" s="11"/>
      <x:c r="M135" s="11"/>
      <x:c r="N135" s="11"/>
      <x:c r="O135" s="11"/>
      <x:c r="P135" s="11"/>
      <x:c r="Q135" s="14"/>
      <x:c r="R135" s="11"/>
    </x:row>
    <x:row r="136" ht="60" customHeight="1">
      <x:c r="A136" s="11"/>
      <x:c r="B136" s="11"/>
      <x:c r="C136" s="11"/>
      <x:c r="D136" s="11"/>
      <x:c r="E136" s="11"/>
      <x:c r="F136" s="12"/>
      <x:c r="G136" s="12"/>
      <x:c r="H136" s="12"/>
      <x:c r="I136" s="12"/>
      <x:c r="J136" s="12"/>
      <x:c r="K136" s="16"/>
      <x:c r="L136" s="11"/>
      <x:c r="M136" s="11"/>
      <x:c r="N136" s="11"/>
      <x:c r="O136" s="11"/>
      <x:c r="P136" s="11"/>
      <x:c r="Q136" s="14"/>
      <x:c r="R136" s="11"/>
    </x:row>
    <x:row r="137" ht="60" customHeight="1">
      <x:c r="A137" s="11"/>
      <x:c r="B137" s="11"/>
      <x:c r="C137" s="11"/>
      <x:c r="D137" s="11"/>
      <x:c r="E137" s="11"/>
      <x:c r="F137" s="12"/>
      <x:c r="G137" s="12"/>
      <x:c r="H137" s="12"/>
      <x:c r="I137" s="12"/>
      <x:c r="J137" s="12"/>
      <x:c r="K137" s="16"/>
      <x:c r="L137" s="11"/>
      <x:c r="M137" s="11"/>
      <x:c r="N137" s="11"/>
      <x:c r="O137" s="11"/>
      <x:c r="P137" s="11"/>
      <x:c r="Q137" s="14"/>
      <x:c r="R137" s="11"/>
    </x:row>
    <x:row r="138" ht="60" customHeight="1">
      <x:c r="A138" s="11"/>
      <x:c r="B138" s="11"/>
      <x:c r="C138" s="11"/>
      <x:c r="D138" s="11"/>
      <x:c r="E138" s="11"/>
      <x:c r="F138" s="12"/>
      <x:c r="G138" s="12"/>
      <x:c r="H138" s="12"/>
      <x:c r="I138" s="12"/>
      <x:c r="J138" s="12"/>
      <x:c r="K138" s="16"/>
      <x:c r="L138" s="11"/>
      <x:c r="M138" s="11"/>
      <x:c r="N138" s="11"/>
      <x:c r="O138" s="11"/>
      <x:c r="P138" s="11"/>
      <x:c r="Q138" s="14"/>
      <x:c r="R138" s="11"/>
    </x:row>
    <x:row r="139" ht="60" customHeight="1">
      <x:c r="A139" s="11"/>
      <x:c r="B139" s="11"/>
      <x:c r="C139" s="11"/>
      <x:c r="D139" s="11"/>
      <x:c r="E139" s="11"/>
      <x:c r="F139" s="12"/>
      <x:c r="G139" s="12"/>
      <x:c r="H139" s="12"/>
      <x:c r="I139" s="12"/>
      <x:c r="J139" s="12"/>
      <x:c r="K139" s="16"/>
      <x:c r="L139" s="11"/>
      <x:c r="M139" s="11"/>
      <x:c r="N139" s="11"/>
      <x:c r="O139" s="11"/>
      <x:c r="P139" s="11"/>
      <x:c r="Q139" s="14"/>
      <x:c r="R139" s="11"/>
    </x:row>
    <x:row r="140" ht="60" customHeight="1">
      <x:c r="A140" s="11"/>
      <x:c r="B140" s="11"/>
      <x:c r="C140" s="11"/>
      <x:c r="D140" s="11"/>
      <x:c r="E140" s="11"/>
      <x:c r="F140" s="12"/>
      <x:c r="G140" s="12"/>
      <x:c r="H140" s="12"/>
      <x:c r="I140" s="12"/>
      <x:c r="J140" s="12"/>
      <x:c r="K140" s="16"/>
      <x:c r="L140" s="11"/>
      <x:c r="M140" s="11"/>
      <x:c r="N140" s="11"/>
      <x:c r="O140" s="11"/>
      <x:c r="P140" s="11"/>
      <x:c r="Q140" s="14"/>
      <x:c r="R140" s="11"/>
    </x:row>
    <x:row r="141" ht="60" customHeight="1">
      <x:c r="A141" s="11"/>
      <x:c r="B141" s="11"/>
      <x:c r="C141" s="11"/>
      <x:c r="D141" s="11"/>
      <x:c r="E141" s="11"/>
      <x:c r="F141" s="12"/>
      <x:c r="G141" s="12"/>
      <x:c r="H141" s="12"/>
      <x:c r="I141" s="12"/>
      <x:c r="J141" s="12"/>
      <x:c r="K141" s="16"/>
      <x:c r="L141" s="11"/>
      <x:c r="M141" s="11"/>
      <x:c r="N141" s="11"/>
      <x:c r="O141" s="11"/>
      <x:c r="P141" s="11"/>
      <x:c r="Q141" s="14"/>
      <x:c r="R141" s="11"/>
    </x:row>
    <x:row r="142" ht="60" customHeight="1">
      <x:c r="A142" s="11"/>
      <x:c r="B142" s="11"/>
      <x:c r="C142" s="11"/>
      <x:c r="D142" s="11"/>
      <x:c r="E142" s="11"/>
      <x:c r="F142" s="12"/>
      <x:c r="G142" s="12"/>
      <x:c r="H142" s="12"/>
      <x:c r="I142" s="12"/>
      <x:c r="J142" s="12"/>
      <x:c r="K142" s="16"/>
      <x:c r="L142" s="11"/>
      <x:c r="M142" s="11"/>
      <x:c r="N142" s="11"/>
      <x:c r="O142" s="11"/>
      <x:c r="P142" s="11"/>
      <x:c r="Q142" s="14"/>
      <x:c r="R142" s="11"/>
    </x:row>
    <x:row r="143" ht="60" customHeight="1">
      <x:c r="A143" s="11"/>
      <x:c r="B143" s="11"/>
      <x:c r="C143" s="11"/>
      <x:c r="D143" s="11"/>
      <x:c r="E143" s="11"/>
      <x:c r="F143" s="12"/>
      <x:c r="G143" s="12"/>
      <x:c r="H143" s="12"/>
      <x:c r="I143" s="12"/>
      <x:c r="J143" s="12"/>
      <x:c r="K143" s="16"/>
      <x:c r="L143" s="11"/>
      <x:c r="M143" s="11"/>
      <x:c r="N143" s="11"/>
      <x:c r="O143" s="11"/>
      <x:c r="P143" s="11"/>
      <x:c r="Q143" s="14"/>
      <x:c r="R143" s="11"/>
    </x:row>
    <x:row r="144" ht="60" customHeight="1">
      <x:c r="A144" s="11"/>
      <x:c r="B144" s="11"/>
      <x:c r="C144" s="11"/>
      <x:c r="D144" s="11"/>
      <x:c r="E144" s="11"/>
      <x:c r="F144" s="12"/>
      <x:c r="G144" s="12"/>
      <x:c r="H144" s="12"/>
      <x:c r="I144" s="12"/>
      <x:c r="J144" s="12"/>
      <x:c r="K144" s="16"/>
      <x:c r="L144" s="11"/>
      <x:c r="M144" s="11"/>
      <x:c r="N144" s="11"/>
      <x:c r="O144" s="11"/>
      <x:c r="P144" s="11"/>
      <x:c r="Q144" s="14"/>
      <x:c r="R144" s="11"/>
    </x:row>
    <x:row r="145" ht="60" customHeight="1">
      <x:c r="A145" s="11"/>
      <x:c r="B145" s="11"/>
      <x:c r="C145" s="11"/>
      <x:c r="D145" s="11"/>
      <x:c r="E145" s="11"/>
      <x:c r="F145" s="12"/>
      <x:c r="G145" s="12"/>
      <x:c r="H145" s="12"/>
      <x:c r="I145" s="12"/>
      <x:c r="J145" s="12"/>
      <x:c r="K145" s="16"/>
      <x:c r="L145" s="11"/>
      <x:c r="M145" s="11"/>
      <x:c r="N145" s="11"/>
      <x:c r="O145" s="11"/>
      <x:c r="P145" s="11"/>
      <x:c r="Q145" s="14"/>
      <x:c r="R145" s="11"/>
    </x:row>
    <x:row r="146" ht="60" customHeight="1">
      <x:c r="A146" s="11"/>
      <x:c r="B146" s="11"/>
      <x:c r="C146" s="11"/>
      <x:c r="D146" s="11"/>
      <x:c r="E146" s="11"/>
      <x:c r="F146" s="12"/>
      <x:c r="G146" s="12"/>
      <x:c r="H146" s="12"/>
      <x:c r="I146" s="12"/>
      <x:c r="J146" s="12"/>
      <x:c r="K146" s="16"/>
      <x:c r="L146" s="11"/>
      <x:c r="M146" s="11"/>
      <x:c r="N146" s="11"/>
      <x:c r="O146" s="11"/>
      <x:c r="P146" s="11"/>
      <x:c r="Q146" s="14"/>
      <x:c r="R146" s="11"/>
    </x:row>
    <x:row r="147" ht="60" customHeight="1">
      <x:c r="A147" s="11"/>
      <x:c r="B147" s="11"/>
      <x:c r="C147" s="11"/>
      <x:c r="D147" s="11"/>
      <x:c r="E147" s="11"/>
      <x:c r="F147" s="12"/>
      <x:c r="G147" s="12"/>
      <x:c r="H147" s="12"/>
      <x:c r="I147" s="12"/>
      <x:c r="J147" s="12"/>
      <x:c r="K147" s="16"/>
      <x:c r="L147" s="11"/>
      <x:c r="M147" s="11"/>
      <x:c r="N147" s="11"/>
      <x:c r="O147" s="11"/>
      <x:c r="P147" s="11"/>
      <x:c r="Q147" s="14"/>
      <x:c r="R147" s="11"/>
    </x:row>
    <x:row r="148" ht="60" customHeight="1">
      <x:c r="A148" s="11"/>
      <x:c r="B148" s="11"/>
      <x:c r="C148" s="11"/>
      <x:c r="D148" s="11"/>
      <x:c r="E148" s="11"/>
      <x:c r="F148" s="12"/>
      <x:c r="G148" s="12"/>
      <x:c r="H148" s="12"/>
      <x:c r="I148" s="12"/>
      <x:c r="J148" s="12"/>
      <x:c r="K148" s="16"/>
      <x:c r="L148" s="11"/>
      <x:c r="M148" s="11"/>
      <x:c r="N148" s="11"/>
      <x:c r="O148" s="11"/>
      <x:c r="P148" s="11"/>
      <x:c r="Q148" s="14"/>
      <x:c r="R148" s="11"/>
    </x:row>
    <x:row r="149" ht="60" customHeight="1">
      <x:c r="A149" s="11"/>
      <x:c r="B149" s="11"/>
      <x:c r="C149" s="11"/>
      <x:c r="D149" s="11"/>
      <x:c r="E149" s="11"/>
      <x:c r="F149" s="12"/>
      <x:c r="G149" s="12"/>
      <x:c r="H149" s="12"/>
      <x:c r="I149" s="12"/>
      <x:c r="J149" s="12"/>
      <x:c r="K149" s="16"/>
      <x:c r="L149" s="11"/>
      <x:c r="M149" s="11"/>
      <x:c r="N149" s="11"/>
      <x:c r="O149" s="11"/>
      <x:c r="P149" s="11"/>
      <x:c r="Q149" s="14"/>
      <x:c r="R149" s="11"/>
    </x:row>
    <x:row r="150" ht="60" customHeight="1">
      <x:c r="A150" s="11"/>
      <x:c r="B150" s="11"/>
      <x:c r="C150" s="11"/>
      <x:c r="D150" s="11"/>
      <x:c r="E150" s="11"/>
      <x:c r="F150" s="12"/>
      <x:c r="G150" s="12"/>
      <x:c r="H150" s="12"/>
      <x:c r="I150" s="12"/>
      <x:c r="J150" s="12"/>
      <x:c r="K150" s="16"/>
      <x:c r="L150" s="11"/>
      <x:c r="M150" s="11"/>
      <x:c r="N150" s="11"/>
      <x:c r="O150" s="11"/>
      <x:c r="P150" s="11"/>
      <x:c r="Q150" s="14"/>
      <x:c r="R150" s="11"/>
    </x:row>
    <x:row r="151" ht="60" customHeight="1">
      <x:c r="A151" s="11"/>
      <x:c r="B151" s="11"/>
      <x:c r="C151" s="11"/>
      <x:c r="D151" s="11"/>
      <x:c r="E151" s="11"/>
      <x:c r="F151" s="12"/>
      <x:c r="G151" s="12"/>
      <x:c r="H151" s="12"/>
      <x:c r="I151" s="12"/>
      <x:c r="J151" s="12"/>
      <x:c r="K151" s="16"/>
      <x:c r="L151" s="11"/>
      <x:c r="M151" s="11"/>
      <x:c r="N151" s="11"/>
      <x:c r="O151" s="11"/>
      <x:c r="P151" s="11"/>
      <x:c r="Q151" s="14"/>
      <x:c r="R151" s="11"/>
    </x:row>
    <x:row r="152" ht="60" customHeight="1">
      <x:c r="A152" s="11"/>
      <x:c r="B152" s="11"/>
      <x:c r="C152" s="11"/>
      <x:c r="D152" s="11"/>
      <x:c r="E152" s="11"/>
      <x:c r="F152" s="12"/>
      <x:c r="G152" s="12"/>
      <x:c r="H152" s="12"/>
      <x:c r="I152" s="12"/>
      <x:c r="J152" s="12"/>
      <x:c r="K152" s="16"/>
      <x:c r="L152" s="11"/>
      <x:c r="M152" s="11"/>
      <x:c r="N152" s="11"/>
      <x:c r="O152" s="11"/>
      <x:c r="P152" s="11"/>
      <x:c r="Q152" s="14"/>
      <x:c r="R152" s="11"/>
    </x:row>
    <x:row r="153" ht="60" customHeight="1">
      <x:c r="A153" s="11"/>
      <x:c r="B153" s="11"/>
      <x:c r="C153" s="11"/>
      <x:c r="D153" s="11"/>
      <x:c r="E153" s="11"/>
      <x:c r="F153" s="12"/>
      <x:c r="G153" s="12"/>
      <x:c r="H153" s="12"/>
      <x:c r="I153" s="12"/>
      <x:c r="J153" s="12"/>
      <x:c r="K153" s="16"/>
      <x:c r="L153" s="11"/>
      <x:c r="M153" s="11"/>
      <x:c r="N153" s="11"/>
      <x:c r="O153" s="11"/>
      <x:c r="P153" s="11"/>
      <x:c r="Q153" s="14"/>
      <x:c r="R153" s="11"/>
    </x:row>
    <x:row r="154" ht="60" customHeight="1">
      <x:c r="A154" s="11"/>
      <x:c r="B154" s="11"/>
      <x:c r="C154" s="11"/>
      <x:c r="D154" s="11"/>
      <x:c r="E154" s="11"/>
      <x:c r="F154" s="12"/>
      <x:c r="G154" s="12"/>
      <x:c r="H154" s="12"/>
      <x:c r="I154" s="12"/>
      <x:c r="J154" s="12"/>
      <x:c r="K154" s="16"/>
      <x:c r="L154" s="11"/>
      <x:c r="M154" s="11"/>
      <x:c r="N154" s="11"/>
      <x:c r="O154" s="11"/>
      <x:c r="P154" s="11"/>
      <x:c r="Q154" s="14"/>
      <x:c r="R154" s="11"/>
    </x:row>
    <x:row r="155" ht="60" customHeight="1">
      <x:c r="A155" s="11"/>
      <x:c r="B155" s="11"/>
      <x:c r="C155" s="11"/>
      <x:c r="D155" s="11"/>
      <x:c r="E155" s="11"/>
      <x:c r="F155" s="12"/>
      <x:c r="G155" s="12"/>
      <x:c r="H155" s="12"/>
      <x:c r="I155" s="12"/>
      <x:c r="J155" s="12"/>
      <x:c r="K155" s="16"/>
      <x:c r="L155" s="11"/>
      <x:c r="M155" s="11"/>
      <x:c r="N155" s="11"/>
      <x:c r="O155" s="11"/>
      <x:c r="P155" s="11"/>
      <x:c r="Q155" s="14"/>
      <x:c r="R155" s="11"/>
    </x:row>
    <x:row r="156" ht="60" customHeight="1">
      <x:c r="A156" s="11"/>
      <x:c r="B156" s="11"/>
      <x:c r="C156" s="11"/>
      <x:c r="D156" s="11"/>
      <x:c r="E156" s="11"/>
      <x:c r="F156" s="12"/>
      <x:c r="G156" s="12"/>
      <x:c r="H156" s="12"/>
      <x:c r="I156" s="12"/>
      <x:c r="J156" s="12"/>
      <x:c r="K156" s="16"/>
      <x:c r="L156" s="11"/>
      <x:c r="M156" s="11"/>
      <x:c r="N156" s="11"/>
      <x:c r="O156" s="11"/>
      <x:c r="P156" s="11"/>
      <x:c r="Q156" s="14"/>
      <x:c r="R156" s="11"/>
    </x:row>
    <x:row r="157" ht="60" customHeight="1">
      <x:c r="A157" s="11"/>
      <x:c r="B157" s="11"/>
      <x:c r="C157" s="11"/>
      <x:c r="D157" s="11"/>
      <x:c r="E157" s="11"/>
      <x:c r="F157" s="12"/>
      <x:c r="G157" s="12"/>
      <x:c r="H157" s="12"/>
      <x:c r="I157" s="12"/>
      <x:c r="J157" s="12"/>
      <x:c r="K157" s="16"/>
      <x:c r="L157" s="11"/>
      <x:c r="M157" s="11"/>
      <x:c r="N157" s="11"/>
      <x:c r="O157" s="11"/>
      <x:c r="P157" s="11"/>
      <x:c r="Q157" s="14"/>
      <x:c r="R157" s="11"/>
    </x:row>
    <x:row r="158" ht="60" customHeight="1">
      <x:c r="A158" s="11"/>
      <x:c r="B158" s="11"/>
      <x:c r="C158" s="11"/>
      <x:c r="D158" s="11"/>
      <x:c r="E158" s="11"/>
      <x:c r="F158" s="12"/>
      <x:c r="G158" s="12"/>
      <x:c r="H158" s="12"/>
      <x:c r="I158" s="12"/>
      <x:c r="J158" s="12"/>
      <x:c r="K158" s="16"/>
      <x:c r="L158" s="11"/>
      <x:c r="M158" s="11"/>
      <x:c r="N158" s="11"/>
      <x:c r="O158" s="11"/>
      <x:c r="P158" s="11"/>
      <x:c r="Q158" s="14"/>
      <x:c r="R158" s="11"/>
    </x:row>
    <x:row r="159" ht="60" customHeight="1">
      <x:c r="A159" s="11"/>
      <x:c r="B159" s="11"/>
      <x:c r="C159" s="11"/>
      <x:c r="D159" s="11"/>
      <x:c r="E159" s="11"/>
      <x:c r="F159" s="12"/>
      <x:c r="G159" s="12"/>
      <x:c r="H159" s="12"/>
      <x:c r="I159" s="12"/>
      <x:c r="J159" s="12"/>
      <x:c r="K159" s="16"/>
      <x:c r="L159" s="11"/>
      <x:c r="M159" s="11"/>
      <x:c r="N159" s="11"/>
      <x:c r="O159" s="11"/>
      <x:c r="P159" s="11"/>
      <x:c r="Q159" s="14"/>
      <x:c r="R159" s="11"/>
    </x:row>
    <x:row r="160" ht="60" customHeight="1">
      <x:c r="A160" s="11"/>
      <x:c r="B160" s="11"/>
      <x:c r="C160" s="11"/>
      <x:c r="D160" s="11"/>
      <x:c r="E160" s="11"/>
      <x:c r="F160" s="12"/>
      <x:c r="G160" s="12"/>
      <x:c r="H160" s="12"/>
      <x:c r="I160" s="12"/>
      <x:c r="J160" s="12"/>
      <x:c r="K160" s="16"/>
      <x:c r="L160" s="11"/>
      <x:c r="M160" s="11"/>
      <x:c r="N160" s="11"/>
      <x:c r="O160" s="11"/>
      <x:c r="P160" s="11"/>
      <x:c r="Q160" s="14"/>
      <x:c r="R160" s="11"/>
    </x:row>
    <x:row r="161" ht="60" customHeight="1">
      <x:c r="A161" s="11"/>
      <x:c r="B161" s="11"/>
      <x:c r="C161" s="11"/>
      <x:c r="D161" s="11"/>
      <x:c r="E161" s="11"/>
      <x:c r="F161" s="12"/>
      <x:c r="G161" s="12"/>
      <x:c r="H161" s="12"/>
      <x:c r="I161" s="12"/>
      <x:c r="J161" s="12"/>
      <x:c r="K161" s="16"/>
      <x:c r="L161" s="11"/>
      <x:c r="M161" s="11"/>
      <x:c r="N161" s="11"/>
      <x:c r="O161" s="11"/>
      <x:c r="P161" s="11"/>
      <x:c r="Q161" s="14"/>
      <x:c r="R161" s="11"/>
    </x:row>
    <x:row r="162" ht="60" customHeight="1">
      <x:c r="A162" s="11"/>
      <x:c r="B162" s="11"/>
      <x:c r="C162" s="11"/>
      <x:c r="D162" s="11"/>
      <x:c r="E162" s="11"/>
      <x:c r="F162" s="12"/>
      <x:c r="G162" s="12"/>
      <x:c r="H162" s="12"/>
      <x:c r="I162" s="12"/>
      <x:c r="J162" s="12"/>
      <x:c r="K162" s="16"/>
      <x:c r="L162" s="11"/>
      <x:c r="M162" s="11"/>
      <x:c r="N162" s="11"/>
      <x:c r="O162" s="11"/>
      <x:c r="P162" s="11"/>
      <x:c r="Q162" s="14"/>
      <x:c r="R162" s="11"/>
    </x:row>
    <x:row r="163" ht="60" customHeight="1">
      <x:c r="A163" s="11"/>
      <x:c r="B163" s="11"/>
      <x:c r="C163" s="11"/>
      <x:c r="D163" s="11"/>
      <x:c r="E163" s="11"/>
      <x:c r="F163" s="12"/>
      <x:c r="G163" s="12"/>
      <x:c r="H163" s="12"/>
      <x:c r="I163" s="12"/>
      <x:c r="J163" s="12"/>
      <x:c r="K163" s="16"/>
      <x:c r="L163" s="11"/>
      <x:c r="M163" s="11"/>
      <x:c r="N163" s="11"/>
      <x:c r="O163" s="11"/>
      <x:c r="P163" s="11"/>
      <x:c r="Q163" s="14"/>
      <x:c r="R163" s="11"/>
    </x:row>
    <x:row r="164" ht="60" customHeight="1">
      <x:c r="A164" s="11"/>
      <x:c r="B164" s="11"/>
      <x:c r="C164" s="11"/>
      <x:c r="D164" s="11"/>
      <x:c r="E164" s="11"/>
      <x:c r="F164" s="12"/>
      <x:c r="G164" s="12"/>
      <x:c r="H164" s="12"/>
      <x:c r="I164" s="12"/>
      <x:c r="J164" s="12"/>
      <x:c r="K164" s="16"/>
      <x:c r="L164" s="11"/>
      <x:c r="M164" s="11"/>
      <x:c r="N164" s="11"/>
      <x:c r="O164" s="11"/>
      <x:c r="P164" s="11"/>
      <x:c r="Q164" s="14"/>
      <x:c r="R164" s="11"/>
    </x:row>
    <x:row r="165" ht="60" customHeight="1">
      <x:c r="A165" s="11"/>
      <x:c r="B165" s="11"/>
      <x:c r="C165" s="11"/>
      <x:c r="D165" s="11"/>
      <x:c r="E165" s="11"/>
      <x:c r="F165" s="12"/>
      <x:c r="G165" s="12"/>
      <x:c r="H165" s="12"/>
      <x:c r="I165" s="12"/>
      <x:c r="J165" s="12"/>
      <x:c r="K165" s="16"/>
      <x:c r="L165" s="11"/>
      <x:c r="M165" s="11"/>
      <x:c r="N165" s="11"/>
      <x:c r="O165" s="11"/>
      <x:c r="P165" s="11"/>
      <x:c r="Q165" s="14"/>
      <x:c r="R165" s="11"/>
    </x:row>
    <x:row r="166" ht="60" customHeight="1">
      <x:c r="A166" s="11"/>
      <x:c r="B166" s="11"/>
      <x:c r="C166" s="11"/>
      <x:c r="D166" s="11"/>
      <x:c r="E166" s="11"/>
      <x:c r="F166" s="12"/>
      <x:c r="G166" s="12"/>
      <x:c r="H166" s="12"/>
      <x:c r="I166" s="12"/>
      <x:c r="J166" s="12"/>
      <x:c r="K166" s="16"/>
      <x:c r="L166" s="11"/>
      <x:c r="M166" s="11"/>
      <x:c r="N166" s="11"/>
      <x:c r="O166" s="11"/>
      <x:c r="P166" s="11"/>
      <x:c r="Q166" s="14"/>
      <x:c r="R166" s="11"/>
    </x:row>
    <x:row r="167" ht="60" customHeight="1">
      <x:c r="A167" s="11"/>
      <x:c r="B167" s="11"/>
      <x:c r="C167" s="11"/>
      <x:c r="D167" s="11"/>
      <x:c r="E167" s="11"/>
      <x:c r="F167" s="12"/>
      <x:c r="G167" s="12"/>
      <x:c r="H167" s="12"/>
      <x:c r="I167" s="12"/>
      <x:c r="J167" s="12"/>
      <x:c r="K167" s="16"/>
      <x:c r="L167" s="11"/>
      <x:c r="M167" s="11"/>
      <x:c r="N167" s="11"/>
      <x:c r="O167" s="11"/>
      <x:c r="P167" s="11"/>
      <x:c r="Q167" s="14"/>
      <x:c r="R167" s="11"/>
    </x:row>
    <x:row r="168" ht="60" customHeight="1">
      <x:c r="A168" s="11"/>
      <x:c r="B168" s="11"/>
      <x:c r="C168" s="11"/>
      <x:c r="D168" s="11"/>
      <x:c r="E168" s="11"/>
      <x:c r="F168" s="12"/>
      <x:c r="G168" s="12"/>
      <x:c r="H168" s="12"/>
      <x:c r="I168" s="12"/>
      <x:c r="J168" s="12"/>
      <x:c r="K168" s="16"/>
      <x:c r="L168" s="11"/>
      <x:c r="M168" s="11"/>
      <x:c r="N168" s="11"/>
      <x:c r="O168" s="11"/>
      <x:c r="P168" s="11"/>
      <x:c r="Q168" s="14"/>
      <x:c r="R168" s="11"/>
    </x:row>
    <x:row r="169" ht="60" customHeight="1">
      <x:c r="A169" s="11"/>
      <x:c r="B169" s="11"/>
      <x:c r="C169" s="11"/>
      <x:c r="D169" s="11"/>
      <x:c r="E169" s="11"/>
      <x:c r="F169" s="12"/>
      <x:c r="G169" s="12"/>
      <x:c r="H169" s="12"/>
      <x:c r="I169" s="12"/>
      <x:c r="J169" s="12"/>
      <x:c r="K169" s="16"/>
      <x:c r="L169" s="11"/>
      <x:c r="M169" s="11"/>
      <x:c r="N169" s="11"/>
      <x:c r="O169" s="11"/>
      <x:c r="P169" s="11"/>
      <x:c r="Q169" s="14"/>
      <x:c r="R169" s="11"/>
    </x:row>
    <x:row r="170" ht="60" customHeight="1">
      <x:c r="A170" s="11"/>
      <x:c r="B170" s="11"/>
      <x:c r="C170" s="11"/>
      <x:c r="D170" s="11"/>
      <x:c r="E170" s="11"/>
      <x:c r="F170" s="12"/>
      <x:c r="G170" s="12"/>
      <x:c r="H170" s="12"/>
      <x:c r="I170" s="12"/>
      <x:c r="J170" s="12"/>
      <x:c r="K170" s="16"/>
      <x:c r="L170" s="11"/>
      <x:c r="M170" s="11"/>
      <x:c r="N170" s="11"/>
      <x:c r="O170" s="11"/>
      <x:c r="P170" s="11"/>
      <x:c r="Q170" s="14"/>
      <x:c r="R170" s="11"/>
    </x:row>
    <x:row r="171" ht="60" customHeight="1">
      <x:c r="A171" s="11"/>
      <x:c r="B171" s="11"/>
      <x:c r="C171" s="11"/>
      <x:c r="D171" s="11"/>
      <x:c r="E171" s="11"/>
      <x:c r="F171" s="12"/>
      <x:c r="G171" s="12"/>
      <x:c r="H171" s="12"/>
      <x:c r="I171" s="12"/>
      <x:c r="J171" s="12"/>
      <x:c r="K171" s="16"/>
      <x:c r="L171" s="11"/>
      <x:c r="M171" s="11"/>
      <x:c r="N171" s="11"/>
      <x:c r="O171" s="11"/>
      <x:c r="P171" s="11"/>
      <x:c r="Q171" s="14"/>
      <x:c r="R171" s="11"/>
    </x:row>
    <x:row r="172" ht="60" customHeight="1">
      <x:c r="A172" s="11"/>
      <x:c r="B172" s="11"/>
      <x:c r="C172" s="11"/>
      <x:c r="D172" s="11"/>
      <x:c r="E172" s="11"/>
      <x:c r="F172" s="12"/>
      <x:c r="G172" s="12"/>
      <x:c r="H172" s="12"/>
      <x:c r="I172" s="12"/>
      <x:c r="J172" s="12"/>
      <x:c r="K172" s="16"/>
      <x:c r="L172" s="11"/>
      <x:c r="M172" s="11"/>
      <x:c r="N172" s="11"/>
      <x:c r="O172" s="11"/>
      <x:c r="P172" s="11"/>
      <x:c r="Q172" s="14"/>
      <x:c r="R172" s="11"/>
    </x:row>
    <x:row r="173" ht="60" customHeight="1">
      <x:c r="A173" s="11"/>
      <x:c r="B173" s="11"/>
      <x:c r="C173" s="11"/>
      <x:c r="D173" s="11"/>
      <x:c r="E173" s="11"/>
      <x:c r="F173" s="12"/>
      <x:c r="G173" s="12"/>
      <x:c r="H173" s="12"/>
      <x:c r="I173" s="12"/>
      <x:c r="J173" s="12"/>
      <x:c r="K173" s="16"/>
      <x:c r="L173" s="11"/>
      <x:c r="M173" s="11"/>
      <x:c r="N173" s="11"/>
      <x:c r="O173" s="11"/>
      <x:c r="P173" s="11"/>
      <x:c r="Q173" s="14"/>
      <x:c r="R173" s="11"/>
    </x:row>
    <x:row r="174" ht="60" customHeight="1">
      <x:c r="A174" s="11"/>
      <x:c r="B174" s="11"/>
      <x:c r="C174" s="11"/>
      <x:c r="D174" s="11"/>
      <x:c r="E174" s="11"/>
      <x:c r="F174" s="12"/>
      <x:c r="G174" s="12"/>
      <x:c r="H174" s="12"/>
      <x:c r="I174" s="12"/>
      <x:c r="J174" s="12"/>
      <x:c r="K174" s="16"/>
      <x:c r="L174" s="11"/>
      <x:c r="M174" s="11"/>
      <x:c r="N174" s="11"/>
      <x:c r="O174" s="11"/>
      <x:c r="P174" s="11"/>
      <x:c r="Q174" s="14"/>
      <x:c r="R174" s="11"/>
    </x:row>
    <x:row r="175" ht="60" customHeight="1">
      <x:c r="A175" s="11"/>
      <x:c r="B175" s="11"/>
      <x:c r="C175" s="11"/>
      <x:c r="D175" s="11"/>
      <x:c r="E175" s="11"/>
      <x:c r="F175" s="12"/>
      <x:c r="G175" s="12"/>
      <x:c r="H175" s="12"/>
      <x:c r="I175" s="12"/>
      <x:c r="J175" s="12"/>
      <x:c r="K175" s="16"/>
      <x:c r="L175" s="11"/>
      <x:c r="M175" s="11"/>
      <x:c r="N175" s="11"/>
      <x:c r="O175" s="11"/>
      <x:c r="P175" s="11"/>
      <x:c r="Q175" s="14"/>
      <x:c r="R175" s="11"/>
    </x:row>
    <x:row r="176" ht="60" customHeight="1">
      <x:c r="A176" s="11"/>
      <x:c r="B176" s="11"/>
      <x:c r="C176" s="11"/>
      <x:c r="D176" s="11"/>
      <x:c r="E176" s="11"/>
      <x:c r="F176" s="12"/>
      <x:c r="G176" s="12"/>
      <x:c r="H176" s="12"/>
      <x:c r="I176" s="12"/>
      <x:c r="J176" s="12"/>
      <x:c r="K176" s="16"/>
      <x:c r="L176" s="11"/>
      <x:c r="M176" s="11"/>
      <x:c r="N176" s="11"/>
      <x:c r="O176" s="11"/>
      <x:c r="P176" s="11"/>
      <x:c r="Q176" s="14"/>
      <x:c r="R176" s="11"/>
    </x:row>
    <x:row r="177" ht="60" customHeight="1">
      <x:c r="A177" s="11"/>
      <x:c r="B177" s="11"/>
      <x:c r="C177" s="11"/>
      <x:c r="D177" s="11"/>
      <x:c r="E177" s="11"/>
      <x:c r="F177" s="12"/>
      <x:c r="G177" s="12"/>
      <x:c r="H177" s="12"/>
      <x:c r="I177" s="12"/>
      <x:c r="J177" s="12"/>
      <x:c r="K177" s="16"/>
      <x:c r="L177" s="11"/>
      <x:c r="M177" s="11"/>
      <x:c r="N177" s="11"/>
      <x:c r="O177" s="11"/>
      <x:c r="P177" s="11"/>
      <x:c r="Q177" s="14"/>
      <x:c r="R177" s="11"/>
    </x:row>
    <x:row r="178" ht="60" customHeight="1">
      <x:c r="A178" s="11"/>
      <x:c r="B178" s="11"/>
      <x:c r="C178" s="11"/>
      <x:c r="D178" s="11"/>
      <x:c r="E178" s="11"/>
      <x:c r="F178" s="12"/>
      <x:c r="G178" s="12"/>
      <x:c r="H178" s="12"/>
      <x:c r="I178" s="12"/>
      <x:c r="J178" s="12"/>
      <x:c r="K178" s="16"/>
      <x:c r="L178" s="11"/>
      <x:c r="M178" s="11"/>
      <x:c r="N178" s="11"/>
      <x:c r="O178" s="11"/>
      <x:c r="P178" s="11"/>
      <x:c r="Q178" s="14"/>
      <x:c r="R178" s="11"/>
    </x:row>
    <x:row r="179" ht="60" customHeight="1">
      <x:c r="A179" s="11"/>
      <x:c r="B179" s="11"/>
      <x:c r="C179" s="11"/>
      <x:c r="D179" s="11"/>
      <x:c r="E179" s="11"/>
      <x:c r="F179" s="12"/>
      <x:c r="G179" s="12"/>
      <x:c r="H179" s="12"/>
      <x:c r="I179" s="12"/>
      <x:c r="J179" s="12"/>
      <x:c r="K179" s="16"/>
      <x:c r="L179" s="11"/>
      <x:c r="M179" s="11"/>
      <x:c r="N179" s="11"/>
      <x:c r="O179" s="11"/>
      <x:c r="P179" s="11"/>
      <x:c r="Q179" s="14"/>
      <x:c r="R179" s="11"/>
    </x:row>
    <x:row r="180" ht="60" customHeight="1">
      <x:c r="A180" s="11"/>
      <x:c r="B180" s="11"/>
      <x:c r="C180" s="11"/>
      <x:c r="D180" s="11"/>
      <x:c r="E180" s="11"/>
      <x:c r="F180" s="12"/>
      <x:c r="G180" s="12"/>
      <x:c r="H180" s="12"/>
      <x:c r="I180" s="12"/>
      <x:c r="J180" s="12"/>
      <x:c r="K180" s="16"/>
      <x:c r="L180" s="11"/>
      <x:c r="M180" s="11"/>
      <x:c r="N180" s="11"/>
      <x:c r="O180" s="11"/>
      <x:c r="P180" s="11"/>
      <x:c r="Q180" s="14"/>
      <x:c r="R180" s="11"/>
    </x:row>
    <x:row r="181" ht="60" customHeight="1">
      <x:c r="A181" s="11"/>
      <x:c r="B181" s="11"/>
      <x:c r="C181" s="11"/>
      <x:c r="D181" s="11"/>
      <x:c r="E181" s="11"/>
      <x:c r="F181" s="12"/>
      <x:c r="G181" s="12"/>
      <x:c r="H181" s="12"/>
      <x:c r="I181" s="12"/>
      <x:c r="J181" s="12"/>
      <x:c r="K181" s="16"/>
      <x:c r="L181" s="11"/>
      <x:c r="M181" s="11"/>
      <x:c r="N181" s="11"/>
      <x:c r="O181" s="11"/>
      <x:c r="P181" s="11"/>
      <x:c r="Q181" s="14"/>
      <x:c r="R181" s="11"/>
    </x:row>
    <x:row r="182" ht="60" customHeight="1">
      <x:c r="A182" s="11"/>
      <x:c r="B182" s="11"/>
      <x:c r="C182" s="11"/>
      <x:c r="D182" s="11"/>
      <x:c r="E182" s="11"/>
      <x:c r="F182" s="12"/>
      <x:c r="G182" s="12"/>
      <x:c r="H182" s="12"/>
      <x:c r="I182" s="12"/>
      <x:c r="J182" s="12"/>
      <x:c r="K182" s="16"/>
      <x:c r="L182" s="11"/>
      <x:c r="M182" s="11"/>
      <x:c r="N182" s="11"/>
      <x:c r="O182" s="11"/>
      <x:c r="P182" s="11"/>
      <x:c r="Q182" s="14"/>
      <x:c r="R182" s="11"/>
    </x:row>
    <x:row r="183" ht="60" customHeight="1">
      <x:c r="A183" s="11"/>
      <x:c r="B183" s="11"/>
      <x:c r="C183" s="11"/>
      <x:c r="D183" s="11"/>
      <x:c r="E183" s="11"/>
      <x:c r="F183" s="12"/>
      <x:c r="G183" s="12"/>
      <x:c r="H183" s="12"/>
      <x:c r="I183" s="12"/>
      <x:c r="J183" s="12"/>
      <x:c r="K183" s="16"/>
      <x:c r="L183" s="11"/>
      <x:c r="M183" s="11"/>
      <x:c r="N183" s="11"/>
      <x:c r="O183" s="11"/>
      <x:c r="P183" s="11"/>
      <x:c r="Q183" s="14"/>
      <x:c r="R183" s="11"/>
    </x:row>
    <x:row r="184" ht="60" customHeight="1">
      <x:c r="A184" s="11"/>
      <x:c r="B184" s="11"/>
      <x:c r="C184" s="11"/>
      <x:c r="D184" s="11"/>
      <x:c r="E184" s="11"/>
      <x:c r="F184" s="12"/>
      <x:c r="G184" s="12"/>
      <x:c r="H184" s="12"/>
      <x:c r="I184" s="12"/>
      <x:c r="J184" s="12"/>
      <x:c r="K184" s="16"/>
      <x:c r="L184" s="11"/>
      <x:c r="M184" s="11"/>
      <x:c r="N184" s="11"/>
      <x:c r="O184" s="11"/>
      <x:c r="P184" s="11"/>
      <x:c r="Q184" s="14"/>
      <x:c r="R184" s="11"/>
    </x:row>
    <x:row r="185" ht="60" customHeight="1">
      <x:c r="A185" s="11"/>
      <x:c r="B185" s="11"/>
      <x:c r="C185" s="11"/>
      <x:c r="D185" s="11"/>
      <x:c r="E185" s="11"/>
      <x:c r="F185" s="12"/>
      <x:c r="G185" s="12"/>
      <x:c r="H185" s="12"/>
      <x:c r="I185" s="12"/>
      <x:c r="J185" s="12"/>
      <x:c r="K185" s="16"/>
      <x:c r="L185" s="11"/>
      <x:c r="M185" s="11"/>
      <x:c r="N185" s="11"/>
      <x:c r="O185" s="11"/>
      <x:c r="P185" s="11"/>
      <x:c r="Q185" s="14"/>
      <x:c r="R185" s="11"/>
    </x:row>
    <x:row r="186" ht="60" customHeight="1">
      <x:c r="A186" s="11"/>
      <x:c r="B186" s="11"/>
      <x:c r="C186" s="11"/>
      <x:c r="D186" s="11"/>
      <x:c r="E186" s="11"/>
      <x:c r="F186" s="12"/>
      <x:c r="G186" s="12"/>
      <x:c r="H186" s="12"/>
      <x:c r="I186" s="12"/>
      <x:c r="J186" s="12"/>
      <x:c r="K186" s="16"/>
      <x:c r="L186" s="11"/>
      <x:c r="M186" s="11"/>
      <x:c r="N186" s="11"/>
      <x:c r="O186" s="11"/>
      <x:c r="P186" s="11"/>
      <x:c r="Q186" s="14"/>
      <x:c r="R186" s="11"/>
    </x:row>
    <x:row r="187" ht="60" customHeight="1">
      <x:c r="A187" s="11"/>
      <x:c r="B187" s="11"/>
      <x:c r="C187" s="11"/>
      <x:c r="D187" s="11"/>
      <x:c r="E187" s="11"/>
      <x:c r="F187" s="12"/>
      <x:c r="G187" s="12"/>
      <x:c r="H187" s="12"/>
      <x:c r="I187" s="12"/>
      <x:c r="J187" s="12"/>
      <x:c r="K187" s="16"/>
      <x:c r="L187" s="11"/>
      <x:c r="M187" s="11"/>
      <x:c r="N187" s="11"/>
      <x:c r="O187" s="11"/>
      <x:c r="P187" s="11"/>
      <x:c r="Q187" s="14"/>
      <x:c r="R187" s="11"/>
    </x:row>
    <x:row r="188" ht="60" customHeight="1">
      <x:c r="A188" s="11"/>
      <x:c r="B188" s="11"/>
      <x:c r="C188" s="11"/>
      <x:c r="D188" s="11"/>
      <x:c r="E188" s="11"/>
      <x:c r="F188" s="12"/>
      <x:c r="G188" s="12"/>
      <x:c r="H188" s="12"/>
      <x:c r="I188" s="12"/>
      <x:c r="J188" s="12"/>
      <x:c r="K188" s="16"/>
      <x:c r="L188" s="11"/>
      <x:c r="M188" s="11"/>
      <x:c r="N188" s="11"/>
      <x:c r="O188" s="11"/>
      <x:c r="P188" s="11"/>
      <x:c r="Q188" s="14"/>
      <x:c r="R188" s="11"/>
    </x:row>
    <x:row r="189" ht="60" customHeight="1">
      <x:c r="A189" s="11"/>
      <x:c r="B189" s="11"/>
      <x:c r="C189" s="11"/>
      <x:c r="D189" s="11"/>
      <x:c r="E189" s="11"/>
      <x:c r="F189" s="12"/>
      <x:c r="G189" s="12"/>
      <x:c r="H189" s="12"/>
      <x:c r="I189" s="12"/>
      <x:c r="J189" s="12"/>
      <x:c r="K189" s="16"/>
      <x:c r="L189" s="11"/>
      <x:c r="M189" s="11"/>
      <x:c r="N189" s="11"/>
      <x:c r="O189" s="11"/>
      <x:c r="P189" s="11"/>
      <x:c r="Q189" s="14"/>
      <x:c r="R189" s="11"/>
    </x:row>
    <x:row r="190" ht="60" customHeight="1">
      <x:c r="A190" s="11"/>
      <x:c r="B190" s="11"/>
      <x:c r="C190" s="11"/>
      <x:c r="D190" s="11"/>
      <x:c r="E190" s="11"/>
      <x:c r="F190" s="12"/>
      <x:c r="G190" s="12"/>
      <x:c r="H190" s="12"/>
      <x:c r="I190" s="12"/>
      <x:c r="J190" s="12"/>
      <x:c r="K190" s="16"/>
      <x:c r="L190" s="11"/>
      <x:c r="M190" s="11"/>
      <x:c r="N190" s="11"/>
      <x:c r="O190" s="11"/>
      <x:c r="P190" s="11"/>
      <x:c r="Q190" s="14"/>
      <x:c r="R190" s="11"/>
    </x:row>
    <x:row r="191" ht="60" customHeight="1">
      <x:c r="A191" s="11"/>
      <x:c r="B191" s="11"/>
      <x:c r="C191" s="11"/>
      <x:c r="D191" s="11"/>
      <x:c r="E191" s="11"/>
      <x:c r="F191" s="12"/>
      <x:c r="G191" s="12"/>
      <x:c r="H191" s="12"/>
      <x:c r="I191" s="12"/>
      <x:c r="J191" s="12"/>
      <x:c r="K191" s="16"/>
      <x:c r="L191" s="11"/>
      <x:c r="M191" s="11"/>
      <x:c r="N191" s="11"/>
      <x:c r="O191" s="11"/>
      <x:c r="P191" s="11"/>
      <x:c r="Q191" s="14"/>
      <x:c r="R191" s="11"/>
    </x:row>
    <x:row r="192" ht="60" customHeight="1">
      <x:c r="A192" s="11"/>
      <x:c r="B192" s="11"/>
      <x:c r="C192" s="11"/>
      <x:c r="D192" s="11"/>
      <x:c r="E192" s="11"/>
      <x:c r="F192" s="12"/>
      <x:c r="G192" s="12"/>
      <x:c r="H192" s="12"/>
      <x:c r="I192" s="12"/>
      <x:c r="J192" s="12"/>
      <x:c r="K192" s="16"/>
      <x:c r="L192" s="11"/>
      <x:c r="M192" s="11"/>
      <x:c r="N192" s="11"/>
      <x:c r="O192" s="11"/>
      <x:c r="P192" s="11"/>
      <x:c r="Q192" s="14"/>
      <x:c r="R192" s="11"/>
    </x:row>
    <x:row r="193" ht="60" customHeight="1">
      <x:c r="A193" s="11"/>
      <x:c r="B193" s="11"/>
      <x:c r="C193" s="11"/>
      <x:c r="D193" s="11"/>
      <x:c r="E193" s="11"/>
      <x:c r="F193" s="12"/>
      <x:c r="G193" s="12"/>
      <x:c r="H193" s="12"/>
      <x:c r="I193" s="12"/>
      <x:c r="J193" s="12"/>
      <x:c r="K193" s="16"/>
      <x:c r="L193" s="11"/>
      <x:c r="M193" s="11"/>
      <x:c r="N193" s="11"/>
      <x:c r="O193" s="11"/>
      <x:c r="P193" s="11"/>
      <x:c r="Q193" s="14"/>
      <x:c r="R193" s="11"/>
    </x:row>
    <x:row r="194" ht="60" customHeight="1">
      <x:c r="A194" s="11"/>
      <x:c r="B194" s="11"/>
      <x:c r="C194" s="11"/>
      <x:c r="D194" s="11"/>
      <x:c r="E194" s="11"/>
      <x:c r="F194" s="12"/>
      <x:c r="G194" s="12"/>
      <x:c r="H194" s="12"/>
      <x:c r="I194" s="12"/>
      <x:c r="J194" s="12"/>
      <x:c r="K194" s="16"/>
      <x:c r="L194" s="11"/>
      <x:c r="M194" s="11"/>
      <x:c r="N194" s="11"/>
      <x:c r="O194" s="11"/>
      <x:c r="P194" s="11"/>
      <x:c r="Q194" s="14"/>
      <x:c r="R194" s="11"/>
    </x:row>
    <x:row r="195" ht="60" customHeight="1">
      <x:c r="A195" s="11"/>
      <x:c r="B195" s="11"/>
      <x:c r="C195" s="11"/>
      <x:c r="D195" s="11"/>
      <x:c r="E195" s="11"/>
      <x:c r="F195" s="12"/>
      <x:c r="G195" s="12"/>
      <x:c r="H195" s="12"/>
      <x:c r="I195" s="12"/>
      <x:c r="J195" s="12"/>
      <x:c r="K195" s="16"/>
      <x:c r="L195" s="11"/>
      <x:c r="M195" s="11"/>
      <x:c r="N195" s="11"/>
      <x:c r="O195" s="11"/>
      <x:c r="P195" s="11"/>
      <x:c r="Q195" s="14"/>
      <x:c r="R195" s="11"/>
    </x:row>
    <x:row r="196" ht="60" customHeight="1">
      <x:c r="A196" s="11"/>
      <x:c r="B196" s="11"/>
      <x:c r="C196" s="11"/>
      <x:c r="D196" s="11"/>
      <x:c r="E196" s="11"/>
      <x:c r="F196" s="12"/>
      <x:c r="G196" s="12"/>
      <x:c r="H196" s="12"/>
      <x:c r="I196" s="12"/>
      <x:c r="J196" s="12"/>
      <x:c r="K196" s="16"/>
      <x:c r="L196" s="11"/>
      <x:c r="M196" s="11"/>
      <x:c r="N196" s="11"/>
      <x:c r="O196" s="11"/>
      <x:c r="P196" s="11"/>
      <x:c r="Q196" s="14"/>
      <x:c r="R196" s="11"/>
    </x:row>
    <x:row r="197" ht="60" customHeight="1">
      <x:c r="A197" s="11"/>
      <x:c r="B197" s="11"/>
      <x:c r="C197" s="11"/>
      <x:c r="D197" s="11"/>
      <x:c r="E197" s="11"/>
      <x:c r="F197" s="12"/>
      <x:c r="G197" s="12"/>
      <x:c r="H197" s="12"/>
      <x:c r="I197" s="12"/>
      <x:c r="J197" s="12"/>
      <x:c r="K197" s="16"/>
      <x:c r="L197" s="11"/>
      <x:c r="M197" s="11"/>
      <x:c r="N197" s="11"/>
      <x:c r="O197" s="11"/>
      <x:c r="P197" s="11"/>
      <x:c r="Q197" s="14"/>
      <x:c r="R197" s="11"/>
    </x:row>
    <x:row r="198" ht="60" customHeight="1">
      <x:c r="A198" s="11"/>
      <x:c r="B198" s="11"/>
      <x:c r="C198" s="11"/>
      <x:c r="D198" s="11"/>
      <x:c r="E198" s="11"/>
      <x:c r="F198" s="12"/>
      <x:c r="G198" s="12"/>
      <x:c r="H198" s="12"/>
      <x:c r="I198" s="12"/>
      <x:c r="J198" s="12"/>
      <x:c r="K198" s="16"/>
      <x:c r="L198" s="11"/>
      <x:c r="M198" s="11"/>
      <x:c r="N198" s="11"/>
      <x:c r="O198" s="11"/>
      <x:c r="P198" s="11"/>
      <x:c r="Q198" s="14"/>
      <x:c r="R198" s="11"/>
    </x:row>
    <x:row r="199" ht="60" customHeight="1">
      <x:c r="A199" s="11"/>
      <x:c r="B199" s="11"/>
      <x:c r="C199" s="11"/>
      <x:c r="D199" s="11"/>
      <x:c r="E199" s="11"/>
      <x:c r="F199" s="12"/>
      <x:c r="G199" s="12"/>
      <x:c r="H199" s="12"/>
      <x:c r="I199" s="12"/>
      <x:c r="J199" s="12"/>
      <x:c r="K199" s="16"/>
      <x:c r="L199" s="11"/>
      <x:c r="M199" s="11"/>
      <x:c r="N199" s="11"/>
      <x:c r="O199" s="11"/>
      <x:c r="P199" s="11"/>
      <x:c r="Q199" s="14"/>
      <x:c r="R199" s="11"/>
    </x:row>
    <x:row r="200" ht="60" customHeight="1">
      <x:c r="A200" s="11"/>
      <x:c r="B200" s="11"/>
      <x:c r="C200" s="11"/>
      <x:c r="D200" s="11"/>
      <x:c r="E200" s="11"/>
      <x:c r="F200" s="12"/>
      <x:c r="G200" s="12"/>
      <x:c r="H200" s="12"/>
      <x:c r="I200" s="12"/>
      <x:c r="J200" s="12"/>
      <x:c r="K200" s="16"/>
      <x:c r="L200" s="11"/>
      <x:c r="M200" s="11"/>
      <x:c r="N200" s="11"/>
      <x:c r="O200" s="11"/>
      <x:c r="P200" s="11"/>
      <x:c r="Q200" s="14"/>
      <x:c r="R200" s="11"/>
    </x:row>
    <x:row r="201" ht="60" customHeight="1">
      <x:c r="A201" s="11"/>
      <x:c r="B201" s="11"/>
      <x:c r="C201" s="11"/>
      <x:c r="D201" s="11"/>
      <x:c r="E201" s="11"/>
      <x:c r="F201" s="12"/>
      <x:c r="G201" s="12"/>
      <x:c r="H201" s="12"/>
      <x:c r="I201" s="12"/>
      <x:c r="J201" s="12"/>
      <x:c r="K201" s="16"/>
      <x:c r="L201" s="11"/>
      <x:c r="M201" s="11"/>
      <x:c r="N201" s="11"/>
      <x:c r="O201" s="11"/>
      <x:c r="P201" s="11"/>
      <x:c r="Q201" s="14"/>
      <x:c r="R201" s="11"/>
    </x:row>
    <x:row r="202" ht="60" customHeight="1">
      <x:c r="A202" s="11"/>
      <x:c r="B202" s="11"/>
      <x:c r="C202" s="11"/>
      <x:c r="D202" s="11"/>
      <x:c r="E202" s="11"/>
      <x:c r="F202" s="12"/>
      <x:c r="G202" s="12"/>
      <x:c r="H202" s="12"/>
      <x:c r="I202" s="12"/>
      <x:c r="J202" s="12"/>
      <x:c r="K202" s="16"/>
      <x:c r="L202" s="11"/>
      <x:c r="M202" s="11"/>
      <x:c r="N202" s="11"/>
      <x:c r="O202" s="11"/>
      <x:c r="P202" s="11"/>
      <x:c r="Q202" s="14"/>
      <x:c r="R202" s="11"/>
    </x:row>
    <x:row r="203" ht="60" customHeight="1">
      <x:c r="A203" s="11"/>
      <x:c r="B203" s="11"/>
      <x:c r="C203" s="11"/>
      <x:c r="D203" s="11"/>
      <x:c r="E203" s="11"/>
      <x:c r="F203" s="12"/>
      <x:c r="G203" s="12"/>
      <x:c r="H203" s="12"/>
      <x:c r="I203" s="12"/>
      <x:c r="J203" s="12"/>
      <x:c r="K203" s="16"/>
      <x:c r="L203" s="11"/>
      <x:c r="M203" s="11"/>
      <x:c r="N203" s="11"/>
      <x:c r="O203" s="11"/>
      <x:c r="P203" s="11"/>
      <x:c r="Q203" s="14"/>
      <x:c r="R203" s="11"/>
    </x:row>
    <x:row r="204" ht="60" customHeight="1">
      <x:c r="A204" s="11"/>
      <x:c r="B204" s="11"/>
      <x:c r="C204" s="11"/>
      <x:c r="D204" s="11"/>
      <x:c r="E204" s="11"/>
      <x:c r="F204" s="12"/>
      <x:c r="G204" s="12"/>
      <x:c r="H204" s="12"/>
      <x:c r="I204" s="12"/>
      <x:c r="J204" s="12"/>
      <x:c r="K204" s="16"/>
      <x:c r="L204" s="11"/>
      <x:c r="M204" s="11"/>
      <x:c r="N204" s="11"/>
      <x:c r="O204" s="11"/>
      <x:c r="P204" s="11"/>
      <x:c r="Q204" s="14"/>
      <x:c r="R204" s="11"/>
    </x:row>
    <x:row r="205" ht="60" customHeight="1">
      <x:c r="A205" s="11"/>
      <x:c r="B205" s="11"/>
      <x:c r="C205" s="11"/>
      <x:c r="D205" s="11"/>
      <x:c r="E205" s="11"/>
      <x:c r="F205" s="12"/>
      <x:c r="G205" s="12"/>
      <x:c r="H205" s="12"/>
      <x:c r="I205" s="12"/>
      <x:c r="J205" s="12"/>
      <x:c r="K205" s="16"/>
      <x:c r="L205" s="11"/>
      <x:c r="M205" s="11"/>
      <x:c r="N205" s="11"/>
      <x:c r="O205" s="11"/>
      <x:c r="P205" s="11"/>
      <x:c r="Q205" s="14"/>
      <x:c r="R205" s="11"/>
    </x:row>
    <x:row r="206" ht="60" customHeight="1">
      <x:c r="A206" s="11"/>
      <x:c r="B206" s="11"/>
      <x:c r="C206" s="11"/>
      <x:c r="D206" s="11"/>
      <x:c r="E206" s="11"/>
      <x:c r="F206" s="12"/>
      <x:c r="G206" s="12"/>
      <x:c r="H206" s="12"/>
      <x:c r="I206" s="12"/>
      <x:c r="J206" s="12"/>
      <x:c r="K206" s="16"/>
      <x:c r="L206" s="11"/>
      <x:c r="M206" s="11"/>
      <x:c r="N206" s="11"/>
      <x:c r="O206" s="11"/>
      <x:c r="P206" s="11"/>
      <x:c r="Q206" s="14"/>
      <x:c r="R206" s="11"/>
    </x:row>
  </x:sheetData>
  <x:pageMargins left="0.7" right="0.7" top="0.75" bottom="0.75" header="0.3" footer="0.3"/>
  <x:tableParts count="1">
    <x:tablePart xmlns:r="http://schemas.openxmlformats.org/officeDocument/2006/relationships" r:id="Rec10b9eee0234b8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6" customHeight="1">
      <x:c r="A2" s="2" t="str">
        <x:v>Punch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42" customHeight="1">
      <x:c r="A6" s="8" t="str">
        <x:v>Punch ID</x:v>
      </x:c>
      <x:c r="B6" s="8" t="str">
        <x:v>Project ID</x:v>
      </x:c>
      <x:c r="C6" s="8" t="str">
        <x:v>WBS ID</x:v>
      </x:c>
      <x:c r="D6" s="8" t="str">
        <x:v>Location</x:v>
      </x:c>
      <x:c r="E6" s="8" t="str">
        <x:v>Description</x:v>
      </x:c>
      <x:c r="F6" s="8" t="str">
        <x:v>Responsible Trade</x:v>
      </x:c>
      <x:c r="G6" s="8" t="str">
        <x:v>Owner</x:v>
      </x:c>
      <x:c r="H6" s="8" t="str">
        <x:v>Due Date</x:v>
      </x:c>
      <x:c r="I6" s="8" t="str">
        <x:v>Status</x:v>
      </x:c>
      <x:c r="J6" s="8" t="str">
        <x:v>Closure Evidence Reference</x:v>
      </x:c>
      <x:c r="K6" s="8" t="str">
        <x:v>Verified By</x:v>
      </x:c>
      <x:c r="L6" s="8" t="str">
        <x:v>Verification Date</x:v>
      </x:c>
      <x:c r="M6" s="8" t="str">
        <x:v>Revision</x:v>
      </x:c>
      <x:c r="N6" s="8" t="str">
        <x:v>Source Reference</x:v>
      </x:c>
    </x:row>
    <x:row r="7" ht="60" customHeight="1">
      <x:c r="A7" s="11"/>
      <x:c r="B7" s="11"/>
      <x:c r="C7" s="11"/>
      <x:c r="D7" s="11"/>
      <x:c r="E7" s="11"/>
      <x:c r="F7" s="11"/>
      <x:c r="G7" s="11"/>
      <x:c r="H7" s="15"/>
      <x:c r="I7" s="11"/>
      <x:c r="J7" s="11"/>
      <x:c r="K7" s="11"/>
      <x:c r="L7" s="15"/>
      <x:c r="M7" s="14"/>
      <x:c r="N7" s="11"/>
    </x:row>
    <x:row r="8" ht="60" customHeight="1">
      <x:c r="A8" s="11"/>
      <x:c r="B8" s="11"/>
      <x:c r="C8" s="11"/>
      <x:c r="D8" s="11"/>
      <x:c r="E8" s="11"/>
      <x:c r="F8" s="11"/>
      <x:c r="G8" s="11"/>
      <x:c r="H8" s="15"/>
      <x:c r="I8" s="11"/>
      <x:c r="J8" s="11"/>
      <x:c r="K8" s="11"/>
      <x:c r="L8" s="15"/>
      <x:c r="M8" s="14"/>
      <x:c r="N8" s="11"/>
    </x:row>
    <x:row r="9" ht="60" customHeight="1">
      <x:c r="A9" s="11"/>
      <x:c r="B9" s="11"/>
      <x:c r="C9" s="11"/>
      <x:c r="D9" s="11"/>
      <x:c r="E9" s="11"/>
      <x:c r="F9" s="11"/>
      <x:c r="G9" s="11"/>
      <x:c r="H9" s="15"/>
      <x:c r="I9" s="11"/>
      <x:c r="J9" s="11"/>
      <x:c r="K9" s="11"/>
      <x:c r="L9" s="15"/>
      <x:c r="M9" s="14"/>
      <x:c r="N9" s="11"/>
    </x:row>
    <x:row r="10" ht="60" customHeight="1">
      <x:c r="A10" s="11"/>
      <x:c r="B10" s="11"/>
      <x:c r="C10" s="11"/>
      <x:c r="D10" s="11"/>
      <x:c r="E10" s="11"/>
      <x:c r="F10" s="11"/>
      <x:c r="G10" s="11"/>
      <x:c r="H10" s="15"/>
      <x:c r="I10" s="11"/>
      <x:c r="J10" s="11"/>
      <x:c r="K10" s="11"/>
      <x:c r="L10" s="15"/>
      <x:c r="M10" s="14"/>
      <x:c r="N10" s="11"/>
    </x:row>
    <x:row r="11" ht="60" customHeight="1">
      <x:c r="A11" s="11"/>
      <x:c r="B11" s="11"/>
      <x:c r="C11" s="11"/>
      <x:c r="D11" s="11"/>
      <x:c r="E11" s="11"/>
      <x:c r="F11" s="11"/>
      <x:c r="G11" s="11"/>
      <x:c r="H11" s="15"/>
      <x:c r="I11" s="11"/>
      <x:c r="J11" s="11"/>
      <x:c r="K11" s="11"/>
      <x:c r="L11" s="15"/>
      <x:c r="M11" s="14"/>
      <x:c r="N11" s="11"/>
    </x:row>
    <x:row r="12" ht="60" customHeight="1">
      <x:c r="A12" s="11"/>
      <x:c r="B12" s="11"/>
      <x:c r="C12" s="11"/>
      <x:c r="D12" s="11"/>
      <x:c r="E12" s="11"/>
      <x:c r="F12" s="11"/>
      <x:c r="G12" s="11"/>
      <x:c r="H12" s="15"/>
      <x:c r="I12" s="11"/>
      <x:c r="J12" s="11"/>
      <x:c r="K12" s="11"/>
      <x:c r="L12" s="15"/>
      <x:c r="M12" s="14"/>
      <x:c r="N12" s="11"/>
    </x:row>
    <x:row r="13" ht="60" customHeight="1">
      <x:c r="A13" s="11"/>
      <x:c r="B13" s="11"/>
      <x:c r="C13" s="11"/>
      <x:c r="D13" s="11"/>
      <x:c r="E13" s="11"/>
      <x:c r="F13" s="11"/>
      <x:c r="G13" s="11"/>
      <x:c r="H13" s="15"/>
      <x:c r="I13" s="11"/>
      <x:c r="J13" s="11"/>
      <x:c r="K13" s="11"/>
      <x:c r="L13" s="15"/>
      <x:c r="M13" s="14"/>
      <x:c r="N13" s="11"/>
    </x:row>
    <x:row r="14" ht="60" customHeight="1">
      <x:c r="A14" s="11"/>
      <x:c r="B14" s="11"/>
      <x:c r="C14" s="11"/>
      <x:c r="D14" s="11"/>
      <x:c r="E14" s="11"/>
      <x:c r="F14" s="11"/>
      <x:c r="G14" s="11"/>
      <x:c r="H14" s="15"/>
      <x:c r="I14" s="11"/>
      <x:c r="J14" s="11"/>
      <x:c r="K14" s="11"/>
      <x:c r="L14" s="15"/>
      <x:c r="M14" s="14"/>
      <x:c r="N14" s="11"/>
    </x:row>
    <x:row r="15" ht="60" customHeight="1">
      <x:c r="A15" s="11"/>
      <x:c r="B15" s="11"/>
      <x:c r="C15" s="11"/>
      <x:c r="D15" s="11"/>
      <x:c r="E15" s="11"/>
      <x:c r="F15" s="11"/>
      <x:c r="G15" s="11"/>
      <x:c r="H15" s="15"/>
      <x:c r="I15" s="11"/>
      <x:c r="J15" s="11"/>
      <x:c r="K15" s="11"/>
      <x:c r="L15" s="15"/>
      <x:c r="M15" s="14"/>
      <x:c r="N15" s="11"/>
    </x:row>
    <x:row r="16" ht="60" customHeight="1">
      <x:c r="A16" s="11"/>
      <x:c r="B16" s="11"/>
      <x:c r="C16" s="11"/>
      <x:c r="D16" s="11"/>
      <x:c r="E16" s="11"/>
      <x:c r="F16" s="11"/>
      <x:c r="G16" s="11"/>
      <x:c r="H16" s="15"/>
      <x:c r="I16" s="11"/>
      <x:c r="J16" s="11"/>
      <x:c r="K16" s="11"/>
      <x:c r="L16" s="15"/>
      <x:c r="M16" s="14"/>
      <x:c r="N16" s="11"/>
    </x:row>
    <x:row r="17" ht="60" customHeight="1">
      <x:c r="A17" s="11"/>
      <x:c r="B17" s="11"/>
      <x:c r="C17" s="11"/>
      <x:c r="D17" s="11"/>
      <x:c r="E17" s="11"/>
      <x:c r="F17" s="11"/>
      <x:c r="G17" s="11"/>
      <x:c r="H17" s="15"/>
      <x:c r="I17" s="11"/>
      <x:c r="J17" s="11"/>
      <x:c r="K17" s="11"/>
      <x:c r="L17" s="15"/>
      <x:c r="M17" s="14"/>
      <x:c r="N17" s="11"/>
    </x:row>
    <x:row r="18" ht="60" customHeight="1">
      <x:c r="A18" s="11"/>
      <x:c r="B18" s="11"/>
      <x:c r="C18" s="11"/>
      <x:c r="D18" s="11"/>
      <x:c r="E18" s="11"/>
      <x:c r="F18" s="11"/>
      <x:c r="G18" s="11"/>
      <x:c r="H18" s="15"/>
      <x:c r="I18" s="11"/>
      <x:c r="J18" s="11"/>
      <x:c r="K18" s="11"/>
      <x:c r="L18" s="15"/>
      <x:c r="M18" s="14"/>
      <x:c r="N18" s="11"/>
    </x:row>
    <x:row r="19" ht="60" customHeight="1">
      <x:c r="A19" s="11"/>
      <x:c r="B19" s="11"/>
      <x:c r="C19" s="11"/>
      <x:c r="D19" s="11"/>
      <x:c r="E19" s="11"/>
      <x:c r="F19" s="11"/>
      <x:c r="G19" s="11"/>
      <x:c r="H19" s="15"/>
      <x:c r="I19" s="11"/>
      <x:c r="J19" s="11"/>
      <x:c r="K19" s="11"/>
      <x:c r="L19" s="15"/>
      <x:c r="M19" s="14"/>
      <x:c r="N19" s="11"/>
    </x:row>
    <x:row r="20" ht="60" customHeight="1">
      <x:c r="A20" s="11"/>
      <x:c r="B20" s="11"/>
      <x:c r="C20" s="11"/>
      <x:c r="D20" s="11"/>
      <x:c r="E20" s="11"/>
      <x:c r="F20" s="11"/>
      <x:c r="G20" s="11"/>
      <x:c r="H20" s="15"/>
      <x:c r="I20" s="11"/>
      <x:c r="J20" s="11"/>
      <x:c r="K20" s="11"/>
      <x:c r="L20" s="15"/>
      <x:c r="M20" s="14"/>
      <x:c r="N20" s="11"/>
    </x:row>
    <x:row r="21" ht="60" customHeight="1">
      <x:c r="A21" s="11"/>
      <x:c r="B21" s="11"/>
      <x:c r="C21" s="11"/>
      <x:c r="D21" s="11"/>
      <x:c r="E21" s="11"/>
      <x:c r="F21" s="11"/>
      <x:c r="G21" s="11"/>
      <x:c r="H21" s="15"/>
      <x:c r="I21" s="11"/>
      <x:c r="J21" s="11"/>
      <x:c r="K21" s="11"/>
      <x:c r="L21" s="15"/>
      <x:c r="M21" s="14"/>
      <x:c r="N21" s="11"/>
    </x:row>
    <x:row r="22" ht="60" customHeight="1">
      <x:c r="A22" s="11"/>
      <x:c r="B22" s="11"/>
      <x:c r="C22" s="11"/>
      <x:c r="D22" s="11"/>
      <x:c r="E22" s="11"/>
      <x:c r="F22" s="11"/>
      <x:c r="G22" s="11"/>
      <x:c r="H22" s="15"/>
      <x:c r="I22" s="11"/>
      <x:c r="J22" s="11"/>
      <x:c r="K22" s="11"/>
      <x:c r="L22" s="15"/>
      <x:c r="M22" s="14"/>
      <x:c r="N22" s="11"/>
    </x:row>
    <x:row r="23" ht="60" customHeight="1">
      <x:c r="A23" s="11"/>
      <x:c r="B23" s="11"/>
      <x:c r="C23" s="11"/>
      <x:c r="D23" s="11"/>
      <x:c r="E23" s="11"/>
      <x:c r="F23" s="11"/>
      <x:c r="G23" s="11"/>
      <x:c r="H23" s="15"/>
      <x:c r="I23" s="11"/>
      <x:c r="J23" s="11"/>
      <x:c r="K23" s="11"/>
      <x:c r="L23" s="15"/>
      <x:c r="M23" s="14"/>
      <x:c r="N23" s="11"/>
    </x:row>
    <x:row r="24" ht="60" customHeight="1">
      <x:c r="A24" s="11"/>
      <x:c r="B24" s="11"/>
      <x:c r="C24" s="11"/>
      <x:c r="D24" s="11"/>
      <x:c r="E24" s="11"/>
      <x:c r="F24" s="11"/>
      <x:c r="G24" s="11"/>
      <x:c r="H24" s="15"/>
      <x:c r="I24" s="11"/>
      <x:c r="J24" s="11"/>
      <x:c r="K24" s="11"/>
      <x:c r="L24" s="15"/>
      <x:c r="M24" s="14"/>
      <x:c r="N24" s="11"/>
    </x:row>
    <x:row r="25" ht="60" customHeight="1">
      <x:c r="A25" s="11"/>
      <x:c r="B25" s="11"/>
      <x:c r="C25" s="11"/>
      <x:c r="D25" s="11"/>
      <x:c r="E25" s="11"/>
      <x:c r="F25" s="11"/>
      <x:c r="G25" s="11"/>
      <x:c r="H25" s="15"/>
      <x:c r="I25" s="11"/>
      <x:c r="J25" s="11"/>
      <x:c r="K25" s="11"/>
      <x:c r="L25" s="15"/>
      <x:c r="M25" s="14"/>
      <x:c r="N25" s="11"/>
    </x:row>
    <x:row r="26" ht="60" customHeight="1">
      <x:c r="A26" s="11"/>
      <x:c r="B26" s="11"/>
      <x:c r="C26" s="11"/>
      <x:c r="D26" s="11"/>
      <x:c r="E26" s="11"/>
      <x:c r="F26" s="11"/>
      <x:c r="G26" s="11"/>
      <x:c r="H26" s="15"/>
      <x:c r="I26" s="11"/>
      <x:c r="J26" s="11"/>
      <x:c r="K26" s="11"/>
      <x:c r="L26" s="15"/>
      <x:c r="M26" s="14"/>
      <x:c r="N26" s="11"/>
    </x:row>
    <x:row r="27" ht="60" customHeight="1">
      <x:c r="A27" s="11"/>
      <x:c r="B27" s="11"/>
      <x:c r="C27" s="11"/>
      <x:c r="D27" s="11"/>
      <x:c r="E27" s="11"/>
      <x:c r="F27" s="11"/>
      <x:c r="G27" s="11"/>
      <x:c r="H27" s="15"/>
      <x:c r="I27" s="11"/>
      <x:c r="J27" s="11"/>
      <x:c r="K27" s="11"/>
      <x:c r="L27" s="15"/>
      <x:c r="M27" s="14"/>
      <x:c r="N27" s="11"/>
    </x:row>
    <x:row r="28" ht="60" customHeight="1">
      <x:c r="A28" s="11"/>
      <x:c r="B28" s="11"/>
      <x:c r="C28" s="11"/>
      <x:c r="D28" s="11"/>
      <x:c r="E28" s="11"/>
      <x:c r="F28" s="11"/>
      <x:c r="G28" s="11"/>
      <x:c r="H28" s="15"/>
      <x:c r="I28" s="11"/>
      <x:c r="J28" s="11"/>
      <x:c r="K28" s="11"/>
      <x:c r="L28" s="15"/>
      <x:c r="M28" s="14"/>
      <x:c r="N28" s="11"/>
    </x:row>
    <x:row r="29" ht="60" customHeight="1">
      <x:c r="A29" s="11"/>
      <x:c r="B29" s="11"/>
      <x:c r="C29" s="11"/>
      <x:c r="D29" s="11"/>
      <x:c r="E29" s="11"/>
      <x:c r="F29" s="11"/>
      <x:c r="G29" s="11"/>
      <x:c r="H29" s="15"/>
      <x:c r="I29" s="11"/>
      <x:c r="J29" s="11"/>
      <x:c r="K29" s="11"/>
      <x:c r="L29" s="15"/>
      <x:c r="M29" s="14"/>
      <x:c r="N29" s="11"/>
    </x:row>
    <x:row r="30" ht="60" customHeight="1">
      <x:c r="A30" s="11"/>
      <x:c r="B30" s="11"/>
      <x:c r="C30" s="11"/>
      <x:c r="D30" s="11"/>
      <x:c r="E30" s="11"/>
      <x:c r="F30" s="11"/>
      <x:c r="G30" s="11"/>
      <x:c r="H30" s="15"/>
      <x:c r="I30" s="11"/>
      <x:c r="J30" s="11"/>
      <x:c r="K30" s="11"/>
      <x:c r="L30" s="15"/>
      <x:c r="M30" s="14"/>
      <x:c r="N30" s="11"/>
    </x:row>
    <x:row r="31" ht="60" customHeight="1">
      <x:c r="A31" s="11"/>
      <x:c r="B31" s="11"/>
      <x:c r="C31" s="11"/>
      <x:c r="D31" s="11"/>
      <x:c r="E31" s="11"/>
      <x:c r="F31" s="11"/>
      <x:c r="G31" s="11"/>
      <x:c r="H31" s="15"/>
      <x:c r="I31" s="11"/>
      <x:c r="J31" s="11"/>
      <x:c r="K31" s="11"/>
      <x:c r="L31" s="15"/>
      <x:c r="M31" s="14"/>
      <x:c r="N31" s="11"/>
    </x:row>
    <x:row r="32" ht="60" customHeight="1">
      <x:c r="A32" s="11"/>
      <x:c r="B32" s="11"/>
      <x:c r="C32" s="11"/>
      <x:c r="D32" s="11"/>
      <x:c r="E32" s="11"/>
      <x:c r="F32" s="11"/>
      <x:c r="G32" s="11"/>
      <x:c r="H32" s="15"/>
      <x:c r="I32" s="11"/>
      <x:c r="J32" s="11"/>
      <x:c r="K32" s="11"/>
      <x:c r="L32" s="15"/>
      <x:c r="M32" s="14"/>
      <x:c r="N32" s="11"/>
    </x:row>
    <x:row r="33" ht="60" customHeight="1">
      <x:c r="A33" s="11"/>
      <x:c r="B33" s="11"/>
      <x:c r="C33" s="11"/>
      <x:c r="D33" s="11"/>
      <x:c r="E33" s="11"/>
      <x:c r="F33" s="11"/>
      <x:c r="G33" s="11"/>
      <x:c r="H33" s="15"/>
      <x:c r="I33" s="11"/>
      <x:c r="J33" s="11"/>
      <x:c r="K33" s="11"/>
      <x:c r="L33" s="15"/>
      <x:c r="M33" s="14"/>
      <x:c r="N33" s="11"/>
    </x:row>
    <x:row r="34" ht="60" customHeight="1">
      <x:c r="A34" s="11"/>
      <x:c r="B34" s="11"/>
      <x:c r="C34" s="11"/>
      <x:c r="D34" s="11"/>
      <x:c r="E34" s="11"/>
      <x:c r="F34" s="11"/>
      <x:c r="G34" s="11"/>
      <x:c r="H34" s="15"/>
      <x:c r="I34" s="11"/>
      <x:c r="J34" s="11"/>
      <x:c r="K34" s="11"/>
      <x:c r="L34" s="15"/>
      <x:c r="M34" s="14"/>
      <x:c r="N34" s="11"/>
    </x:row>
    <x:row r="35" ht="60" customHeight="1">
      <x:c r="A35" s="11"/>
      <x:c r="B35" s="11"/>
      <x:c r="C35" s="11"/>
      <x:c r="D35" s="11"/>
      <x:c r="E35" s="11"/>
      <x:c r="F35" s="11"/>
      <x:c r="G35" s="11"/>
      <x:c r="H35" s="15"/>
      <x:c r="I35" s="11"/>
      <x:c r="J35" s="11"/>
      <x:c r="K35" s="11"/>
      <x:c r="L35" s="15"/>
      <x:c r="M35" s="14"/>
      <x:c r="N35" s="11"/>
    </x:row>
    <x:row r="36" ht="60" customHeight="1">
      <x:c r="A36" s="11"/>
      <x:c r="B36" s="11"/>
      <x:c r="C36" s="11"/>
      <x:c r="D36" s="11"/>
      <x:c r="E36" s="11"/>
      <x:c r="F36" s="11"/>
      <x:c r="G36" s="11"/>
      <x:c r="H36" s="15"/>
      <x:c r="I36" s="11"/>
      <x:c r="J36" s="11"/>
      <x:c r="K36" s="11"/>
      <x:c r="L36" s="15"/>
      <x:c r="M36" s="14"/>
      <x:c r="N36" s="11"/>
    </x:row>
    <x:row r="37" ht="60" customHeight="1">
      <x:c r="A37" s="11"/>
      <x:c r="B37" s="11"/>
      <x:c r="C37" s="11"/>
      <x:c r="D37" s="11"/>
      <x:c r="E37" s="11"/>
      <x:c r="F37" s="11"/>
      <x:c r="G37" s="11"/>
      <x:c r="H37" s="15"/>
      <x:c r="I37" s="11"/>
      <x:c r="J37" s="11"/>
      <x:c r="K37" s="11"/>
      <x:c r="L37" s="15"/>
      <x:c r="M37" s="14"/>
      <x:c r="N37" s="11"/>
    </x:row>
    <x:row r="38" ht="60" customHeight="1">
      <x:c r="A38" s="11"/>
      <x:c r="B38" s="11"/>
      <x:c r="C38" s="11"/>
      <x:c r="D38" s="11"/>
      <x:c r="E38" s="11"/>
      <x:c r="F38" s="11"/>
      <x:c r="G38" s="11"/>
      <x:c r="H38" s="15"/>
      <x:c r="I38" s="11"/>
      <x:c r="J38" s="11"/>
      <x:c r="K38" s="11"/>
      <x:c r="L38" s="15"/>
      <x:c r="M38" s="14"/>
      <x:c r="N38" s="11"/>
    </x:row>
    <x:row r="39" ht="60" customHeight="1">
      <x:c r="A39" s="11"/>
      <x:c r="B39" s="11"/>
      <x:c r="C39" s="11"/>
      <x:c r="D39" s="11"/>
      <x:c r="E39" s="11"/>
      <x:c r="F39" s="11"/>
      <x:c r="G39" s="11"/>
      <x:c r="H39" s="15"/>
      <x:c r="I39" s="11"/>
      <x:c r="J39" s="11"/>
      <x:c r="K39" s="11"/>
      <x:c r="L39" s="15"/>
      <x:c r="M39" s="14"/>
      <x:c r="N39" s="11"/>
    </x:row>
    <x:row r="40" ht="60" customHeight="1">
      <x:c r="A40" s="11"/>
      <x:c r="B40" s="11"/>
      <x:c r="C40" s="11"/>
      <x:c r="D40" s="11"/>
      <x:c r="E40" s="11"/>
      <x:c r="F40" s="11"/>
      <x:c r="G40" s="11"/>
      <x:c r="H40" s="15"/>
      <x:c r="I40" s="11"/>
      <x:c r="J40" s="11"/>
      <x:c r="K40" s="11"/>
      <x:c r="L40" s="15"/>
      <x:c r="M40" s="14"/>
      <x:c r="N40" s="11"/>
    </x:row>
    <x:row r="41" ht="60" customHeight="1">
      <x:c r="A41" s="11"/>
      <x:c r="B41" s="11"/>
      <x:c r="C41" s="11"/>
      <x:c r="D41" s="11"/>
      <x:c r="E41" s="11"/>
      <x:c r="F41" s="11"/>
      <x:c r="G41" s="11"/>
      <x:c r="H41" s="15"/>
      <x:c r="I41" s="11"/>
      <x:c r="J41" s="11"/>
      <x:c r="K41" s="11"/>
      <x:c r="L41" s="15"/>
      <x:c r="M41" s="14"/>
      <x:c r="N41" s="11"/>
    </x:row>
    <x:row r="42" ht="60" customHeight="1">
      <x:c r="A42" s="11"/>
      <x:c r="B42" s="11"/>
      <x:c r="C42" s="11"/>
      <x:c r="D42" s="11"/>
      <x:c r="E42" s="11"/>
      <x:c r="F42" s="11"/>
      <x:c r="G42" s="11"/>
      <x:c r="H42" s="15"/>
      <x:c r="I42" s="11"/>
      <x:c r="J42" s="11"/>
      <x:c r="K42" s="11"/>
      <x:c r="L42" s="15"/>
      <x:c r="M42" s="14"/>
      <x:c r="N42" s="11"/>
    </x:row>
    <x:row r="43" ht="60" customHeight="1">
      <x:c r="A43" s="11"/>
      <x:c r="B43" s="11"/>
      <x:c r="C43" s="11"/>
      <x:c r="D43" s="11"/>
      <x:c r="E43" s="11"/>
      <x:c r="F43" s="11"/>
      <x:c r="G43" s="11"/>
      <x:c r="H43" s="15"/>
      <x:c r="I43" s="11"/>
      <x:c r="J43" s="11"/>
      <x:c r="K43" s="11"/>
      <x:c r="L43" s="15"/>
      <x:c r="M43" s="14"/>
      <x:c r="N43" s="11"/>
    </x:row>
    <x:row r="44" ht="60" customHeight="1">
      <x:c r="A44" s="11"/>
      <x:c r="B44" s="11"/>
      <x:c r="C44" s="11"/>
      <x:c r="D44" s="11"/>
      <x:c r="E44" s="11"/>
      <x:c r="F44" s="11"/>
      <x:c r="G44" s="11"/>
      <x:c r="H44" s="15"/>
      <x:c r="I44" s="11"/>
      <x:c r="J44" s="11"/>
      <x:c r="K44" s="11"/>
      <x:c r="L44" s="15"/>
      <x:c r="M44" s="14"/>
      <x:c r="N44" s="11"/>
    </x:row>
    <x:row r="45" ht="60" customHeight="1">
      <x:c r="A45" s="11"/>
      <x:c r="B45" s="11"/>
      <x:c r="C45" s="11"/>
      <x:c r="D45" s="11"/>
      <x:c r="E45" s="11"/>
      <x:c r="F45" s="11"/>
      <x:c r="G45" s="11"/>
      <x:c r="H45" s="15"/>
      <x:c r="I45" s="11"/>
      <x:c r="J45" s="11"/>
      <x:c r="K45" s="11"/>
      <x:c r="L45" s="15"/>
      <x:c r="M45" s="14"/>
      <x:c r="N45" s="11"/>
    </x:row>
    <x:row r="46" ht="60" customHeight="1">
      <x:c r="A46" s="11"/>
      <x:c r="B46" s="11"/>
      <x:c r="C46" s="11"/>
      <x:c r="D46" s="11"/>
      <x:c r="E46" s="11"/>
      <x:c r="F46" s="11"/>
      <x:c r="G46" s="11"/>
      <x:c r="H46" s="15"/>
      <x:c r="I46" s="11"/>
      <x:c r="J46" s="11"/>
      <x:c r="K46" s="11"/>
      <x:c r="L46" s="15"/>
      <x:c r="M46" s="14"/>
      <x:c r="N46" s="11"/>
    </x:row>
    <x:row r="47" ht="60" customHeight="1">
      <x:c r="A47" s="11"/>
      <x:c r="B47" s="11"/>
      <x:c r="C47" s="11"/>
      <x:c r="D47" s="11"/>
      <x:c r="E47" s="11"/>
      <x:c r="F47" s="11"/>
      <x:c r="G47" s="11"/>
      <x:c r="H47" s="15"/>
      <x:c r="I47" s="11"/>
      <x:c r="J47" s="11"/>
      <x:c r="K47" s="11"/>
      <x:c r="L47" s="15"/>
      <x:c r="M47" s="14"/>
      <x:c r="N47" s="11"/>
    </x:row>
    <x:row r="48" ht="60" customHeight="1">
      <x:c r="A48" s="11"/>
      <x:c r="B48" s="11"/>
      <x:c r="C48" s="11"/>
      <x:c r="D48" s="11"/>
      <x:c r="E48" s="11"/>
      <x:c r="F48" s="11"/>
      <x:c r="G48" s="11"/>
      <x:c r="H48" s="15"/>
      <x:c r="I48" s="11"/>
      <x:c r="J48" s="11"/>
      <x:c r="K48" s="11"/>
      <x:c r="L48" s="15"/>
      <x:c r="M48" s="14"/>
      <x:c r="N48" s="11"/>
    </x:row>
    <x:row r="49" ht="60" customHeight="1">
      <x:c r="A49" s="11"/>
      <x:c r="B49" s="11"/>
      <x:c r="C49" s="11"/>
      <x:c r="D49" s="11"/>
      <x:c r="E49" s="11"/>
      <x:c r="F49" s="11"/>
      <x:c r="G49" s="11"/>
      <x:c r="H49" s="15"/>
      <x:c r="I49" s="11"/>
      <x:c r="J49" s="11"/>
      <x:c r="K49" s="11"/>
      <x:c r="L49" s="15"/>
      <x:c r="M49" s="14"/>
      <x:c r="N49" s="11"/>
    </x:row>
    <x:row r="50" ht="60" customHeight="1">
      <x:c r="A50" s="11"/>
      <x:c r="B50" s="11"/>
      <x:c r="C50" s="11"/>
      <x:c r="D50" s="11"/>
      <x:c r="E50" s="11"/>
      <x:c r="F50" s="11"/>
      <x:c r="G50" s="11"/>
      <x:c r="H50" s="15"/>
      <x:c r="I50" s="11"/>
      <x:c r="J50" s="11"/>
      <x:c r="K50" s="11"/>
      <x:c r="L50" s="15"/>
      <x:c r="M50" s="14"/>
      <x:c r="N50" s="11"/>
    </x:row>
    <x:row r="51" ht="60" customHeight="1">
      <x:c r="A51" s="11"/>
      <x:c r="B51" s="11"/>
      <x:c r="C51" s="11"/>
      <x:c r="D51" s="11"/>
      <x:c r="E51" s="11"/>
      <x:c r="F51" s="11"/>
      <x:c r="G51" s="11"/>
      <x:c r="H51" s="15"/>
      <x:c r="I51" s="11"/>
      <x:c r="J51" s="11"/>
      <x:c r="K51" s="11"/>
      <x:c r="L51" s="15"/>
      <x:c r="M51" s="14"/>
      <x:c r="N51" s="11"/>
    </x:row>
    <x:row r="52" ht="60" customHeight="1">
      <x:c r="A52" s="11"/>
      <x:c r="B52" s="11"/>
      <x:c r="C52" s="11"/>
      <x:c r="D52" s="11"/>
      <x:c r="E52" s="11"/>
      <x:c r="F52" s="11"/>
      <x:c r="G52" s="11"/>
      <x:c r="H52" s="15"/>
      <x:c r="I52" s="11"/>
      <x:c r="J52" s="11"/>
      <x:c r="K52" s="11"/>
      <x:c r="L52" s="15"/>
      <x:c r="M52" s="14"/>
      <x:c r="N52" s="11"/>
    </x:row>
    <x:row r="53" ht="60" customHeight="1">
      <x:c r="A53" s="11"/>
      <x:c r="B53" s="11"/>
      <x:c r="C53" s="11"/>
      <x:c r="D53" s="11"/>
      <x:c r="E53" s="11"/>
      <x:c r="F53" s="11"/>
      <x:c r="G53" s="11"/>
      <x:c r="H53" s="15"/>
      <x:c r="I53" s="11"/>
      <x:c r="J53" s="11"/>
      <x:c r="K53" s="11"/>
      <x:c r="L53" s="15"/>
      <x:c r="M53" s="14"/>
      <x:c r="N53" s="11"/>
    </x:row>
    <x:row r="54" ht="60" customHeight="1">
      <x:c r="A54" s="11"/>
      <x:c r="B54" s="11"/>
      <x:c r="C54" s="11"/>
      <x:c r="D54" s="11"/>
      <x:c r="E54" s="11"/>
      <x:c r="F54" s="11"/>
      <x:c r="G54" s="11"/>
      <x:c r="H54" s="15"/>
      <x:c r="I54" s="11"/>
      <x:c r="J54" s="11"/>
      <x:c r="K54" s="11"/>
      <x:c r="L54" s="15"/>
      <x:c r="M54" s="14"/>
      <x:c r="N54" s="11"/>
    </x:row>
    <x:row r="55" ht="60" customHeight="1">
      <x:c r="A55" s="11"/>
      <x:c r="B55" s="11"/>
      <x:c r="C55" s="11"/>
      <x:c r="D55" s="11"/>
      <x:c r="E55" s="11"/>
      <x:c r="F55" s="11"/>
      <x:c r="G55" s="11"/>
      <x:c r="H55" s="15"/>
      <x:c r="I55" s="11"/>
      <x:c r="J55" s="11"/>
      <x:c r="K55" s="11"/>
      <x:c r="L55" s="15"/>
      <x:c r="M55" s="14"/>
      <x:c r="N55" s="11"/>
    </x:row>
    <x:row r="56" ht="60" customHeight="1">
      <x:c r="A56" s="11"/>
      <x:c r="B56" s="11"/>
      <x:c r="C56" s="11"/>
      <x:c r="D56" s="11"/>
      <x:c r="E56" s="11"/>
      <x:c r="F56" s="11"/>
      <x:c r="G56" s="11"/>
      <x:c r="H56" s="15"/>
      <x:c r="I56" s="11"/>
      <x:c r="J56" s="11"/>
      <x:c r="K56" s="11"/>
      <x:c r="L56" s="15"/>
      <x:c r="M56" s="14"/>
      <x:c r="N56" s="11"/>
    </x:row>
    <x:row r="57" ht="60" customHeight="1">
      <x:c r="A57" s="11"/>
      <x:c r="B57" s="11"/>
      <x:c r="C57" s="11"/>
      <x:c r="D57" s="11"/>
      <x:c r="E57" s="11"/>
      <x:c r="F57" s="11"/>
      <x:c r="G57" s="11"/>
      <x:c r="H57" s="15"/>
      <x:c r="I57" s="11"/>
      <x:c r="J57" s="11"/>
      <x:c r="K57" s="11"/>
      <x:c r="L57" s="15"/>
      <x:c r="M57" s="14"/>
      <x:c r="N57" s="11"/>
    </x:row>
    <x:row r="58" ht="60" customHeight="1">
      <x:c r="A58" s="11"/>
      <x:c r="B58" s="11"/>
      <x:c r="C58" s="11"/>
      <x:c r="D58" s="11"/>
      <x:c r="E58" s="11"/>
      <x:c r="F58" s="11"/>
      <x:c r="G58" s="11"/>
      <x:c r="H58" s="15"/>
      <x:c r="I58" s="11"/>
      <x:c r="J58" s="11"/>
      <x:c r="K58" s="11"/>
      <x:c r="L58" s="15"/>
      <x:c r="M58" s="14"/>
      <x:c r="N58" s="11"/>
    </x:row>
    <x:row r="59" ht="60" customHeight="1">
      <x:c r="A59" s="11"/>
      <x:c r="B59" s="11"/>
      <x:c r="C59" s="11"/>
      <x:c r="D59" s="11"/>
      <x:c r="E59" s="11"/>
      <x:c r="F59" s="11"/>
      <x:c r="G59" s="11"/>
      <x:c r="H59" s="15"/>
      <x:c r="I59" s="11"/>
      <x:c r="J59" s="11"/>
      <x:c r="K59" s="11"/>
      <x:c r="L59" s="15"/>
      <x:c r="M59" s="14"/>
      <x:c r="N59" s="11"/>
    </x:row>
    <x:row r="60" ht="60" customHeight="1">
      <x:c r="A60" s="11"/>
      <x:c r="B60" s="11"/>
      <x:c r="C60" s="11"/>
      <x:c r="D60" s="11"/>
      <x:c r="E60" s="11"/>
      <x:c r="F60" s="11"/>
      <x:c r="G60" s="11"/>
      <x:c r="H60" s="15"/>
      <x:c r="I60" s="11"/>
      <x:c r="J60" s="11"/>
      <x:c r="K60" s="11"/>
      <x:c r="L60" s="15"/>
      <x:c r="M60" s="14"/>
      <x:c r="N60" s="11"/>
    </x:row>
    <x:row r="61" ht="60" customHeight="1">
      <x:c r="A61" s="11"/>
      <x:c r="B61" s="11"/>
      <x:c r="C61" s="11"/>
      <x:c r="D61" s="11"/>
      <x:c r="E61" s="11"/>
      <x:c r="F61" s="11"/>
      <x:c r="G61" s="11"/>
      <x:c r="H61" s="15"/>
      <x:c r="I61" s="11"/>
      <x:c r="J61" s="11"/>
      <x:c r="K61" s="11"/>
      <x:c r="L61" s="15"/>
      <x:c r="M61" s="14"/>
      <x:c r="N61" s="11"/>
    </x:row>
    <x:row r="62" ht="60" customHeight="1">
      <x:c r="A62" s="11"/>
      <x:c r="B62" s="11"/>
      <x:c r="C62" s="11"/>
      <x:c r="D62" s="11"/>
      <x:c r="E62" s="11"/>
      <x:c r="F62" s="11"/>
      <x:c r="G62" s="11"/>
      <x:c r="H62" s="15"/>
      <x:c r="I62" s="11"/>
      <x:c r="J62" s="11"/>
      <x:c r="K62" s="11"/>
      <x:c r="L62" s="15"/>
      <x:c r="M62" s="14"/>
      <x:c r="N62" s="11"/>
    </x:row>
    <x:row r="63" ht="60" customHeight="1">
      <x:c r="A63" s="11"/>
      <x:c r="B63" s="11"/>
      <x:c r="C63" s="11"/>
      <x:c r="D63" s="11"/>
      <x:c r="E63" s="11"/>
      <x:c r="F63" s="11"/>
      <x:c r="G63" s="11"/>
      <x:c r="H63" s="15"/>
      <x:c r="I63" s="11"/>
      <x:c r="J63" s="11"/>
      <x:c r="K63" s="11"/>
      <x:c r="L63" s="15"/>
      <x:c r="M63" s="14"/>
      <x:c r="N63" s="11"/>
    </x:row>
    <x:row r="64" ht="60" customHeight="1">
      <x:c r="A64" s="11"/>
      <x:c r="B64" s="11"/>
      <x:c r="C64" s="11"/>
      <x:c r="D64" s="11"/>
      <x:c r="E64" s="11"/>
      <x:c r="F64" s="11"/>
      <x:c r="G64" s="11"/>
      <x:c r="H64" s="15"/>
      <x:c r="I64" s="11"/>
      <x:c r="J64" s="11"/>
      <x:c r="K64" s="11"/>
      <x:c r="L64" s="15"/>
      <x:c r="M64" s="14"/>
      <x:c r="N64" s="11"/>
    </x:row>
    <x:row r="65" ht="60" customHeight="1">
      <x:c r="A65" s="11"/>
      <x:c r="B65" s="11"/>
      <x:c r="C65" s="11"/>
      <x:c r="D65" s="11"/>
      <x:c r="E65" s="11"/>
      <x:c r="F65" s="11"/>
      <x:c r="G65" s="11"/>
      <x:c r="H65" s="15"/>
      <x:c r="I65" s="11"/>
      <x:c r="J65" s="11"/>
      <x:c r="K65" s="11"/>
      <x:c r="L65" s="15"/>
      <x:c r="M65" s="14"/>
      <x:c r="N65" s="11"/>
    </x:row>
    <x:row r="66" ht="60" customHeight="1">
      <x:c r="A66" s="11"/>
      <x:c r="B66" s="11"/>
      <x:c r="C66" s="11"/>
      <x:c r="D66" s="11"/>
      <x:c r="E66" s="11"/>
      <x:c r="F66" s="11"/>
      <x:c r="G66" s="11"/>
      <x:c r="H66" s="15"/>
      <x:c r="I66" s="11"/>
      <x:c r="J66" s="11"/>
      <x:c r="K66" s="11"/>
      <x:c r="L66" s="15"/>
      <x:c r="M66" s="14"/>
      <x:c r="N66" s="11"/>
    </x:row>
    <x:row r="67" ht="60" customHeight="1">
      <x:c r="A67" s="11"/>
      <x:c r="B67" s="11"/>
      <x:c r="C67" s="11"/>
      <x:c r="D67" s="11"/>
      <x:c r="E67" s="11"/>
      <x:c r="F67" s="11"/>
      <x:c r="G67" s="11"/>
      <x:c r="H67" s="15"/>
      <x:c r="I67" s="11"/>
      <x:c r="J67" s="11"/>
      <x:c r="K67" s="11"/>
      <x:c r="L67" s="15"/>
      <x:c r="M67" s="14"/>
      <x:c r="N67" s="11"/>
    </x:row>
    <x:row r="68" ht="60" customHeight="1">
      <x:c r="A68" s="11"/>
      <x:c r="B68" s="11"/>
      <x:c r="C68" s="11"/>
      <x:c r="D68" s="11"/>
      <x:c r="E68" s="11"/>
      <x:c r="F68" s="11"/>
      <x:c r="G68" s="11"/>
      <x:c r="H68" s="15"/>
      <x:c r="I68" s="11"/>
      <x:c r="J68" s="11"/>
      <x:c r="K68" s="11"/>
      <x:c r="L68" s="15"/>
      <x:c r="M68" s="14"/>
      <x:c r="N68" s="11"/>
    </x:row>
    <x:row r="69" ht="60" customHeight="1">
      <x:c r="A69" s="11"/>
      <x:c r="B69" s="11"/>
      <x:c r="C69" s="11"/>
      <x:c r="D69" s="11"/>
      <x:c r="E69" s="11"/>
      <x:c r="F69" s="11"/>
      <x:c r="G69" s="11"/>
      <x:c r="H69" s="15"/>
      <x:c r="I69" s="11"/>
      <x:c r="J69" s="11"/>
      <x:c r="K69" s="11"/>
      <x:c r="L69" s="15"/>
      <x:c r="M69" s="14"/>
      <x:c r="N69" s="11"/>
    </x:row>
    <x:row r="70" ht="60" customHeight="1">
      <x:c r="A70" s="11"/>
      <x:c r="B70" s="11"/>
      <x:c r="C70" s="11"/>
      <x:c r="D70" s="11"/>
      <x:c r="E70" s="11"/>
      <x:c r="F70" s="11"/>
      <x:c r="G70" s="11"/>
      <x:c r="H70" s="15"/>
      <x:c r="I70" s="11"/>
      <x:c r="J70" s="11"/>
      <x:c r="K70" s="11"/>
      <x:c r="L70" s="15"/>
      <x:c r="M70" s="14"/>
      <x:c r="N70" s="11"/>
    </x:row>
    <x:row r="71" ht="60" customHeight="1">
      <x:c r="A71" s="11"/>
      <x:c r="B71" s="11"/>
      <x:c r="C71" s="11"/>
      <x:c r="D71" s="11"/>
      <x:c r="E71" s="11"/>
      <x:c r="F71" s="11"/>
      <x:c r="G71" s="11"/>
      <x:c r="H71" s="15"/>
      <x:c r="I71" s="11"/>
      <x:c r="J71" s="11"/>
      <x:c r="K71" s="11"/>
      <x:c r="L71" s="15"/>
      <x:c r="M71" s="14"/>
      <x:c r="N71" s="11"/>
    </x:row>
    <x:row r="72" ht="60" customHeight="1">
      <x:c r="A72" s="11"/>
      <x:c r="B72" s="11"/>
      <x:c r="C72" s="11"/>
      <x:c r="D72" s="11"/>
      <x:c r="E72" s="11"/>
      <x:c r="F72" s="11"/>
      <x:c r="G72" s="11"/>
      <x:c r="H72" s="15"/>
      <x:c r="I72" s="11"/>
      <x:c r="J72" s="11"/>
      <x:c r="K72" s="11"/>
      <x:c r="L72" s="15"/>
      <x:c r="M72" s="14"/>
      <x:c r="N72" s="11"/>
    </x:row>
    <x:row r="73" ht="60" customHeight="1">
      <x:c r="A73" s="11"/>
      <x:c r="B73" s="11"/>
      <x:c r="C73" s="11"/>
      <x:c r="D73" s="11"/>
      <x:c r="E73" s="11"/>
      <x:c r="F73" s="11"/>
      <x:c r="G73" s="11"/>
      <x:c r="H73" s="15"/>
      <x:c r="I73" s="11"/>
      <x:c r="J73" s="11"/>
      <x:c r="K73" s="11"/>
      <x:c r="L73" s="15"/>
      <x:c r="M73" s="14"/>
      <x:c r="N73" s="11"/>
    </x:row>
    <x:row r="74" ht="60" customHeight="1">
      <x:c r="A74" s="11"/>
      <x:c r="B74" s="11"/>
      <x:c r="C74" s="11"/>
      <x:c r="D74" s="11"/>
      <x:c r="E74" s="11"/>
      <x:c r="F74" s="11"/>
      <x:c r="G74" s="11"/>
      <x:c r="H74" s="15"/>
      <x:c r="I74" s="11"/>
      <x:c r="J74" s="11"/>
      <x:c r="K74" s="11"/>
      <x:c r="L74" s="15"/>
      <x:c r="M74" s="14"/>
      <x:c r="N74" s="11"/>
    </x:row>
    <x:row r="75" ht="60" customHeight="1">
      <x:c r="A75" s="11"/>
      <x:c r="B75" s="11"/>
      <x:c r="C75" s="11"/>
      <x:c r="D75" s="11"/>
      <x:c r="E75" s="11"/>
      <x:c r="F75" s="11"/>
      <x:c r="G75" s="11"/>
      <x:c r="H75" s="15"/>
      <x:c r="I75" s="11"/>
      <x:c r="J75" s="11"/>
      <x:c r="K75" s="11"/>
      <x:c r="L75" s="15"/>
      <x:c r="M75" s="14"/>
      <x:c r="N75" s="11"/>
    </x:row>
    <x:row r="76" ht="60" customHeight="1">
      <x:c r="A76" s="11"/>
      <x:c r="B76" s="11"/>
      <x:c r="C76" s="11"/>
      <x:c r="D76" s="11"/>
      <x:c r="E76" s="11"/>
      <x:c r="F76" s="11"/>
      <x:c r="G76" s="11"/>
      <x:c r="H76" s="15"/>
      <x:c r="I76" s="11"/>
      <x:c r="J76" s="11"/>
      <x:c r="K76" s="11"/>
      <x:c r="L76" s="15"/>
      <x:c r="M76" s="14"/>
      <x:c r="N76" s="11"/>
    </x:row>
    <x:row r="77" ht="60" customHeight="1">
      <x:c r="A77" s="11"/>
      <x:c r="B77" s="11"/>
      <x:c r="C77" s="11"/>
      <x:c r="D77" s="11"/>
      <x:c r="E77" s="11"/>
      <x:c r="F77" s="11"/>
      <x:c r="G77" s="11"/>
      <x:c r="H77" s="15"/>
      <x:c r="I77" s="11"/>
      <x:c r="J77" s="11"/>
      <x:c r="K77" s="11"/>
      <x:c r="L77" s="15"/>
      <x:c r="M77" s="14"/>
      <x:c r="N77" s="11"/>
    </x:row>
    <x:row r="78" ht="60" customHeight="1">
      <x:c r="A78" s="11"/>
      <x:c r="B78" s="11"/>
      <x:c r="C78" s="11"/>
      <x:c r="D78" s="11"/>
      <x:c r="E78" s="11"/>
      <x:c r="F78" s="11"/>
      <x:c r="G78" s="11"/>
      <x:c r="H78" s="15"/>
      <x:c r="I78" s="11"/>
      <x:c r="J78" s="11"/>
      <x:c r="K78" s="11"/>
      <x:c r="L78" s="15"/>
      <x:c r="M78" s="14"/>
      <x:c r="N78" s="11"/>
    </x:row>
    <x:row r="79" ht="60" customHeight="1">
      <x:c r="A79" s="11"/>
      <x:c r="B79" s="11"/>
      <x:c r="C79" s="11"/>
      <x:c r="D79" s="11"/>
      <x:c r="E79" s="11"/>
      <x:c r="F79" s="11"/>
      <x:c r="G79" s="11"/>
      <x:c r="H79" s="15"/>
      <x:c r="I79" s="11"/>
      <x:c r="J79" s="11"/>
      <x:c r="K79" s="11"/>
      <x:c r="L79" s="15"/>
      <x:c r="M79" s="14"/>
      <x:c r="N79" s="11"/>
    </x:row>
    <x:row r="80" ht="60" customHeight="1">
      <x:c r="A80" s="11"/>
      <x:c r="B80" s="11"/>
      <x:c r="C80" s="11"/>
      <x:c r="D80" s="11"/>
      <x:c r="E80" s="11"/>
      <x:c r="F80" s="11"/>
      <x:c r="G80" s="11"/>
      <x:c r="H80" s="15"/>
      <x:c r="I80" s="11"/>
      <x:c r="J80" s="11"/>
      <x:c r="K80" s="11"/>
      <x:c r="L80" s="15"/>
      <x:c r="M80" s="14"/>
      <x:c r="N80" s="11"/>
    </x:row>
    <x:row r="81" ht="60" customHeight="1">
      <x:c r="A81" s="11"/>
      <x:c r="B81" s="11"/>
      <x:c r="C81" s="11"/>
      <x:c r="D81" s="11"/>
      <x:c r="E81" s="11"/>
      <x:c r="F81" s="11"/>
      <x:c r="G81" s="11"/>
      <x:c r="H81" s="15"/>
      <x:c r="I81" s="11"/>
      <x:c r="J81" s="11"/>
      <x:c r="K81" s="11"/>
      <x:c r="L81" s="15"/>
      <x:c r="M81" s="14"/>
      <x:c r="N81" s="11"/>
    </x:row>
    <x:row r="82" ht="60" customHeight="1">
      <x:c r="A82" s="11"/>
      <x:c r="B82" s="11"/>
      <x:c r="C82" s="11"/>
      <x:c r="D82" s="11"/>
      <x:c r="E82" s="11"/>
      <x:c r="F82" s="11"/>
      <x:c r="G82" s="11"/>
      <x:c r="H82" s="15"/>
      <x:c r="I82" s="11"/>
      <x:c r="J82" s="11"/>
      <x:c r="K82" s="11"/>
      <x:c r="L82" s="15"/>
      <x:c r="M82" s="14"/>
      <x:c r="N82" s="11"/>
    </x:row>
    <x:row r="83" ht="60" customHeight="1">
      <x:c r="A83" s="11"/>
      <x:c r="B83" s="11"/>
      <x:c r="C83" s="11"/>
      <x:c r="D83" s="11"/>
      <x:c r="E83" s="11"/>
      <x:c r="F83" s="11"/>
      <x:c r="G83" s="11"/>
      <x:c r="H83" s="15"/>
      <x:c r="I83" s="11"/>
      <x:c r="J83" s="11"/>
      <x:c r="K83" s="11"/>
      <x:c r="L83" s="15"/>
      <x:c r="M83" s="14"/>
      <x:c r="N83" s="11"/>
    </x:row>
    <x:row r="84" ht="60" customHeight="1">
      <x:c r="A84" s="11"/>
      <x:c r="B84" s="11"/>
      <x:c r="C84" s="11"/>
      <x:c r="D84" s="11"/>
      <x:c r="E84" s="11"/>
      <x:c r="F84" s="11"/>
      <x:c r="G84" s="11"/>
      <x:c r="H84" s="15"/>
      <x:c r="I84" s="11"/>
      <x:c r="J84" s="11"/>
      <x:c r="K84" s="11"/>
      <x:c r="L84" s="15"/>
      <x:c r="M84" s="14"/>
      <x:c r="N84" s="11"/>
    </x:row>
    <x:row r="85" ht="60" customHeight="1">
      <x:c r="A85" s="11"/>
      <x:c r="B85" s="11"/>
      <x:c r="C85" s="11"/>
      <x:c r="D85" s="11"/>
      <x:c r="E85" s="11"/>
      <x:c r="F85" s="11"/>
      <x:c r="G85" s="11"/>
      <x:c r="H85" s="15"/>
      <x:c r="I85" s="11"/>
      <x:c r="J85" s="11"/>
      <x:c r="K85" s="11"/>
      <x:c r="L85" s="15"/>
      <x:c r="M85" s="14"/>
      <x:c r="N85" s="11"/>
    </x:row>
    <x:row r="86" ht="60" customHeight="1">
      <x:c r="A86" s="11"/>
      <x:c r="B86" s="11"/>
      <x:c r="C86" s="11"/>
      <x:c r="D86" s="11"/>
      <x:c r="E86" s="11"/>
      <x:c r="F86" s="11"/>
      <x:c r="G86" s="11"/>
      <x:c r="H86" s="15"/>
      <x:c r="I86" s="11"/>
      <x:c r="J86" s="11"/>
      <x:c r="K86" s="11"/>
      <x:c r="L86" s="15"/>
      <x:c r="M86" s="14"/>
      <x:c r="N86" s="11"/>
    </x:row>
    <x:row r="87" ht="60" customHeight="1">
      <x:c r="A87" s="11"/>
      <x:c r="B87" s="11"/>
      <x:c r="C87" s="11"/>
      <x:c r="D87" s="11"/>
      <x:c r="E87" s="11"/>
      <x:c r="F87" s="11"/>
      <x:c r="G87" s="11"/>
      <x:c r="H87" s="15"/>
      <x:c r="I87" s="11"/>
      <x:c r="J87" s="11"/>
      <x:c r="K87" s="11"/>
      <x:c r="L87" s="15"/>
      <x:c r="M87" s="14"/>
      <x:c r="N87" s="11"/>
    </x:row>
    <x:row r="88" ht="60" customHeight="1">
      <x:c r="A88" s="11"/>
      <x:c r="B88" s="11"/>
      <x:c r="C88" s="11"/>
      <x:c r="D88" s="11"/>
      <x:c r="E88" s="11"/>
      <x:c r="F88" s="11"/>
      <x:c r="G88" s="11"/>
      <x:c r="H88" s="15"/>
      <x:c r="I88" s="11"/>
      <x:c r="J88" s="11"/>
      <x:c r="K88" s="11"/>
      <x:c r="L88" s="15"/>
      <x:c r="M88" s="14"/>
      <x:c r="N88" s="11"/>
    </x:row>
    <x:row r="89" ht="60" customHeight="1">
      <x:c r="A89" s="11"/>
      <x:c r="B89" s="11"/>
      <x:c r="C89" s="11"/>
      <x:c r="D89" s="11"/>
      <x:c r="E89" s="11"/>
      <x:c r="F89" s="11"/>
      <x:c r="G89" s="11"/>
      <x:c r="H89" s="15"/>
      <x:c r="I89" s="11"/>
      <x:c r="J89" s="11"/>
      <x:c r="K89" s="11"/>
      <x:c r="L89" s="15"/>
      <x:c r="M89" s="14"/>
      <x:c r="N89" s="11"/>
    </x:row>
    <x:row r="90" ht="60" customHeight="1">
      <x:c r="A90" s="11"/>
      <x:c r="B90" s="11"/>
      <x:c r="C90" s="11"/>
      <x:c r="D90" s="11"/>
      <x:c r="E90" s="11"/>
      <x:c r="F90" s="11"/>
      <x:c r="G90" s="11"/>
      <x:c r="H90" s="15"/>
      <x:c r="I90" s="11"/>
      <x:c r="J90" s="11"/>
      <x:c r="K90" s="11"/>
      <x:c r="L90" s="15"/>
      <x:c r="M90" s="14"/>
      <x:c r="N90" s="11"/>
    </x:row>
    <x:row r="91" ht="60" customHeight="1">
      <x:c r="A91" s="11"/>
      <x:c r="B91" s="11"/>
      <x:c r="C91" s="11"/>
      <x:c r="D91" s="11"/>
      <x:c r="E91" s="11"/>
      <x:c r="F91" s="11"/>
      <x:c r="G91" s="11"/>
      <x:c r="H91" s="15"/>
      <x:c r="I91" s="11"/>
      <x:c r="J91" s="11"/>
      <x:c r="K91" s="11"/>
      <x:c r="L91" s="15"/>
      <x:c r="M91" s="14"/>
      <x:c r="N91" s="11"/>
    </x:row>
    <x:row r="92" ht="60" customHeight="1">
      <x:c r="A92" s="11"/>
      <x:c r="B92" s="11"/>
      <x:c r="C92" s="11"/>
      <x:c r="D92" s="11"/>
      <x:c r="E92" s="11"/>
      <x:c r="F92" s="11"/>
      <x:c r="G92" s="11"/>
      <x:c r="H92" s="15"/>
      <x:c r="I92" s="11"/>
      <x:c r="J92" s="11"/>
      <x:c r="K92" s="11"/>
      <x:c r="L92" s="15"/>
      <x:c r="M92" s="14"/>
      <x:c r="N92" s="11"/>
    </x:row>
    <x:row r="93" ht="60" customHeight="1">
      <x:c r="A93" s="11"/>
      <x:c r="B93" s="11"/>
      <x:c r="C93" s="11"/>
      <x:c r="D93" s="11"/>
      <x:c r="E93" s="11"/>
      <x:c r="F93" s="11"/>
      <x:c r="G93" s="11"/>
      <x:c r="H93" s="15"/>
      <x:c r="I93" s="11"/>
      <x:c r="J93" s="11"/>
      <x:c r="K93" s="11"/>
      <x:c r="L93" s="15"/>
      <x:c r="M93" s="14"/>
      <x:c r="N93" s="11"/>
    </x:row>
    <x:row r="94" ht="60" customHeight="1">
      <x:c r="A94" s="11"/>
      <x:c r="B94" s="11"/>
      <x:c r="C94" s="11"/>
      <x:c r="D94" s="11"/>
      <x:c r="E94" s="11"/>
      <x:c r="F94" s="11"/>
      <x:c r="G94" s="11"/>
      <x:c r="H94" s="15"/>
      <x:c r="I94" s="11"/>
      <x:c r="J94" s="11"/>
      <x:c r="K94" s="11"/>
      <x:c r="L94" s="15"/>
      <x:c r="M94" s="14"/>
      <x:c r="N94" s="11"/>
    </x:row>
    <x:row r="95" ht="60" customHeight="1">
      <x:c r="A95" s="11"/>
      <x:c r="B95" s="11"/>
      <x:c r="C95" s="11"/>
      <x:c r="D95" s="11"/>
      <x:c r="E95" s="11"/>
      <x:c r="F95" s="11"/>
      <x:c r="G95" s="11"/>
      <x:c r="H95" s="15"/>
      <x:c r="I95" s="11"/>
      <x:c r="J95" s="11"/>
      <x:c r="K95" s="11"/>
      <x:c r="L95" s="15"/>
      <x:c r="M95" s="14"/>
      <x:c r="N95" s="11"/>
    </x:row>
    <x:row r="96" ht="60" customHeight="1">
      <x:c r="A96" s="11"/>
      <x:c r="B96" s="11"/>
      <x:c r="C96" s="11"/>
      <x:c r="D96" s="11"/>
      <x:c r="E96" s="11"/>
      <x:c r="F96" s="11"/>
      <x:c r="G96" s="11"/>
      <x:c r="H96" s="15"/>
      <x:c r="I96" s="11"/>
      <x:c r="J96" s="11"/>
      <x:c r="K96" s="11"/>
      <x:c r="L96" s="15"/>
      <x:c r="M96" s="14"/>
      <x:c r="N96" s="11"/>
    </x:row>
    <x:row r="97" ht="60" customHeight="1">
      <x:c r="A97" s="11"/>
      <x:c r="B97" s="11"/>
      <x:c r="C97" s="11"/>
      <x:c r="D97" s="11"/>
      <x:c r="E97" s="11"/>
      <x:c r="F97" s="11"/>
      <x:c r="G97" s="11"/>
      <x:c r="H97" s="15"/>
      <x:c r="I97" s="11"/>
      <x:c r="J97" s="11"/>
      <x:c r="K97" s="11"/>
      <x:c r="L97" s="15"/>
      <x:c r="M97" s="14"/>
      <x:c r="N97" s="11"/>
    </x:row>
    <x:row r="98" ht="60" customHeight="1">
      <x:c r="A98" s="11"/>
      <x:c r="B98" s="11"/>
      <x:c r="C98" s="11"/>
      <x:c r="D98" s="11"/>
      <x:c r="E98" s="11"/>
      <x:c r="F98" s="11"/>
      <x:c r="G98" s="11"/>
      <x:c r="H98" s="15"/>
      <x:c r="I98" s="11"/>
      <x:c r="J98" s="11"/>
      <x:c r="K98" s="11"/>
      <x:c r="L98" s="15"/>
      <x:c r="M98" s="14"/>
      <x:c r="N98" s="11"/>
    </x:row>
    <x:row r="99" ht="60" customHeight="1">
      <x:c r="A99" s="11"/>
      <x:c r="B99" s="11"/>
      <x:c r="C99" s="11"/>
      <x:c r="D99" s="11"/>
      <x:c r="E99" s="11"/>
      <x:c r="F99" s="11"/>
      <x:c r="G99" s="11"/>
      <x:c r="H99" s="15"/>
      <x:c r="I99" s="11"/>
      <x:c r="J99" s="11"/>
      <x:c r="K99" s="11"/>
      <x:c r="L99" s="15"/>
      <x:c r="M99" s="14"/>
      <x:c r="N99" s="11"/>
    </x:row>
    <x:row r="100" ht="60" customHeight="1">
      <x:c r="A100" s="11"/>
      <x:c r="B100" s="11"/>
      <x:c r="C100" s="11"/>
      <x:c r="D100" s="11"/>
      <x:c r="E100" s="11"/>
      <x:c r="F100" s="11"/>
      <x:c r="G100" s="11"/>
      <x:c r="H100" s="15"/>
      <x:c r="I100" s="11"/>
      <x:c r="J100" s="11"/>
      <x:c r="K100" s="11"/>
      <x:c r="L100" s="15"/>
      <x:c r="M100" s="14"/>
      <x:c r="N100" s="11"/>
    </x:row>
    <x:row r="101" ht="60" customHeight="1">
      <x:c r="A101" s="11"/>
      <x:c r="B101" s="11"/>
      <x:c r="C101" s="11"/>
      <x:c r="D101" s="11"/>
      <x:c r="E101" s="11"/>
      <x:c r="F101" s="11"/>
      <x:c r="G101" s="11"/>
      <x:c r="H101" s="15"/>
      <x:c r="I101" s="11"/>
      <x:c r="J101" s="11"/>
      <x:c r="K101" s="11"/>
      <x:c r="L101" s="15"/>
      <x:c r="M101" s="14"/>
      <x:c r="N101" s="11"/>
    </x:row>
    <x:row r="102" ht="60" customHeight="1">
      <x:c r="A102" s="11"/>
      <x:c r="B102" s="11"/>
      <x:c r="C102" s="11"/>
      <x:c r="D102" s="11"/>
      <x:c r="E102" s="11"/>
      <x:c r="F102" s="11"/>
      <x:c r="G102" s="11"/>
      <x:c r="H102" s="15"/>
      <x:c r="I102" s="11"/>
      <x:c r="J102" s="11"/>
      <x:c r="K102" s="11"/>
      <x:c r="L102" s="15"/>
      <x:c r="M102" s="14"/>
      <x:c r="N102" s="11"/>
    </x:row>
    <x:row r="103" ht="60" customHeight="1">
      <x:c r="A103" s="11"/>
      <x:c r="B103" s="11"/>
      <x:c r="C103" s="11"/>
      <x:c r="D103" s="11"/>
      <x:c r="E103" s="11"/>
      <x:c r="F103" s="11"/>
      <x:c r="G103" s="11"/>
      <x:c r="H103" s="15"/>
      <x:c r="I103" s="11"/>
      <x:c r="J103" s="11"/>
      <x:c r="K103" s="11"/>
      <x:c r="L103" s="15"/>
      <x:c r="M103" s="14"/>
      <x:c r="N103" s="11"/>
    </x:row>
    <x:row r="104" ht="60" customHeight="1">
      <x:c r="A104" s="11"/>
      <x:c r="B104" s="11"/>
      <x:c r="C104" s="11"/>
      <x:c r="D104" s="11"/>
      <x:c r="E104" s="11"/>
      <x:c r="F104" s="11"/>
      <x:c r="G104" s="11"/>
      <x:c r="H104" s="15"/>
      <x:c r="I104" s="11"/>
      <x:c r="J104" s="11"/>
      <x:c r="K104" s="11"/>
      <x:c r="L104" s="15"/>
      <x:c r="M104" s="14"/>
      <x:c r="N104" s="11"/>
    </x:row>
    <x:row r="105" ht="60" customHeight="1">
      <x:c r="A105" s="11"/>
      <x:c r="B105" s="11"/>
      <x:c r="C105" s="11"/>
      <x:c r="D105" s="11"/>
      <x:c r="E105" s="11"/>
      <x:c r="F105" s="11"/>
      <x:c r="G105" s="11"/>
      <x:c r="H105" s="15"/>
      <x:c r="I105" s="11"/>
      <x:c r="J105" s="11"/>
      <x:c r="K105" s="11"/>
      <x:c r="L105" s="15"/>
      <x:c r="M105" s="14"/>
      <x:c r="N105" s="11"/>
    </x:row>
    <x:row r="106" ht="60" customHeight="1">
      <x:c r="A106" s="11"/>
      <x:c r="B106" s="11"/>
      <x:c r="C106" s="11"/>
      <x:c r="D106" s="11"/>
      <x:c r="E106" s="11"/>
      <x:c r="F106" s="11"/>
      <x:c r="G106" s="11"/>
      <x:c r="H106" s="15"/>
      <x:c r="I106" s="11"/>
      <x:c r="J106" s="11"/>
      <x:c r="K106" s="11"/>
      <x:c r="L106" s="15"/>
      <x:c r="M106" s="14"/>
      <x:c r="N106" s="11"/>
    </x:row>
    <x:row r="107" ht="60" customHeight="1">
      <x:c r="A107" s="11"/>
      <x:c r="B107" s="11"/>
      <x:c r="C107" s="11"/>
      <x:c r="D107" s="11"/>
      <x:c r="E107" s="11"/>
      <x:c r="F107" s="11"/>
      <x:c r="G107" s="11"/>
      <x:c r="H107" s="15"/>
      <x:c r="I107" s="11"/>
      <x:c r="J107" s="11"/>
      <x:c r="K107" s="11"/>
      <x:c r="L107" s="15"/>
      <x:c r="M107" s="14"/>
      <x:c r="N107" s="11"/>
    </x:row>
    <x:row r="108" ht="60" customHeight="1">
      <x:c r="A108" s="11"/>
      <x:c r="B108" s="11"/>
      <x:c r="C108" s="11"/>
      <x:c r="D108" s="11"/>
      <x:c r="E108" s="11"/>
      <x:c r="F108" s="11"/>
      <x:c r="G108" s="11"/>
      <x:c r="H108" s="15"/>
      <x:c r="I108" s="11"/>
      <x:c r="J108" s="11"/>
      <x:c r="K108" s="11"/>
      <x:c r="L108" s="15"/>
      <x:c r="M108" s="14"/>
      <x:c r="N108" s="11"/>
    </x:row>
    <x:row r="109" ht="60" customHeight="1">
      <x:c r="A109" s="11"/>
      <x:c r="B109" s="11"/>
      <x:c r="C109" s="11"/>
      <x:c r="D109" s="11"/>
      <x:c r="E109" s="11"/>
      <x:c r="F109" s="11"/>
      <x:c r="G109" s="11"/>
      <x:c r="H109" s="15"/>
      <x:c r="I109" s="11"/>
      <x:c r="J109" s="11"/>
      <x:c r="K109" s="11"/>
      <x:c r="L109" s="15"/>
      <x:c r="M109" s="14"/>
      <x:c r="N109" s="11"/>
    </x:row>
    <x:row r="110" ht="60" customHeight="1">
      <x:c r="A110" s="11"/>
      <x:c r="B110" s="11"/>
      <x:c r="C110" s="11"/>
      <x:c r="D110" s="11"/>
      <x:c r="E110" s="11"/>
      <x:c r="F110" s="11"/>
      <x:c r="G110" s="11"/>
      <x:c r="H110" s="15"/>
      <x:c r="I110" s="11"/>
      <x:c r="J110" s="11"/>
      <x:c r="K110" s="11"/>
      <x:c r="L110" s="15"/>
      <x:c r="M110" s="14"/>
      <x:c r="N110" s="11"/>
    </x:row>
    <x:row r="111" ht="60" customHeight="1">
      <x:c r="A111" s="11"/>
      <x:c r="B111" s="11"/>
      <x:c r="C111" s="11"/>
      <x:c r="D111" s="11"/>
      <x:c r="E111" s="11"/>
      <x:c r="F111" s="11"/>
      <x:c r="G111" s="11"/>
      <x:c r="H111" s="15"/>
      <x:c r="I111" s="11"/>
      <x:c r="J111" s="11"/>
      <x:c r="K111" s="11"/>
      <x:c r="L111" s="15"/>
      <x:c r="M111" s="14"/>
      <x:c r="N111" s="11"/>
    </x:row>
    <x:row r="112" ht="60" customHeight="1">
      <x:c r="A112" s="11"/>
      <x:c r="B112" s="11"/>
      <x:c r="C112" s="11"/>
      <x:c r="D112" s="11"/>
      <x:c r="E112" s="11"/>
      <x:c r="F112" s="11"/>
      <x:c r="G112" s="11"/>
      <x:c r="H112" s="15"/>
      <x:c r="I112" s="11"/>
      <x:c r="J112" s="11"/>
      <x:c r="K112" s="11"/>
      <x:c r="L112" s="15"/>
      <x:c r="M112" s="14"/>
      <x:c r="N112" s="11"/>
    </x:row>
    <x:row r="113" ht="60" customHeight="1">
      <x:c r="A113" s="11"/>
      <x:c r="B113" s="11"/>
      <x:c r="C113" s="11"/>
      <x:c r="D113" s="11"/>
      <x:c r="E113" s="11"/>
      <x:c r="F113" s="11"/>
      <x:c r="G113" s="11"/>
      <x:c r="H113" s="15"/>
      <x:c r="I113" s="11"/>
      <x:c r="J113" s="11"/>
      <x:c r="K113" s="11"/>
      <x:c r="L113" s="15"/>
      <x:c r="M113" s="14"/>
      <x:c r="N113" s="11"/>
    </x:row>
    <x:row r="114" ht="60" customHeight="1">
      <x:c r="A114" s="11"/>
      <x:c r="B114" s="11"/>
      <x:c r="C114" s="11"/>
      <x:c r="D114" s="11"/>
      <x:c r="E114" s="11"/>
      <x:c r="F114" s="11"/>
      <x:c r="G114" s="11"/>
      <x:c r="H114" s="15"/>
      <x:c r="I114" s="11"/>
      <x:c r="J114" s="11"/>
      <x:c r="K114" s="11"/>
      <x:c r="L114" s="15"/>
      <x:c r="M114" s="14"/>
      <x:c r="N114" s="11"/>
    </x:row>
    <x:row r="115" ht="60" customHeight="1">
      <x:c r="A115" s="11"/>
      <x:c r="B115" s="11"/>
      <x:c r="C115" s="11"/>
      <x:c r="D115" s="11"/>
      <x:c r="E115" s="11"/>
      <x:c r="F115" s="11"/>
      <x:c r="G115" s="11"/>
      <x:c r="H115" s="15"/>
      <x:c r="I115" s="11"/>
      <x:c r="J115" s="11"/>
      <x:c r="K115" s="11"/>
      <x:c r="L115" s="15"/>
      <x:c r="M115" s="14"/>
      <x:c r="N115" s="11"/>
    </x:row>
    <x:row r="116" ht="60" customHeight="1">
      <x:c r="A116" s="11"/>
      <x:c r="B116" s="11"/>
      <x:c r="C116" s="11"/>
      <x:c r="D116" s="11"/>
      <x:c r="E116" s="11"/>
      <x:c r="F116" s="11"/>
      <x:c r="G116" s="11"/>
      <x:c r="H116" s="15"/>
      <x:c r="I116" s="11"/>
      <x:c r="J116" s="11"/>
      <x:c r="K116" s="11"/>
      <x:c r="L116" s="15"/>
      <x:c r="M116" s="14"/>
      <x:c r="N116" s="11"/>
    </x:row>
    <x:row r="117" ht="60" customHeight="1">
      <x:c r="A117" s="11"/>
      <x:c r="B117" s="11"/>
      <x:c r="C117" s="11"/>
      <x:c r="D117" s="11"/>
      <x:c r="E117" s="11"/>
      <x:c r="F117" s="11"/>
      <x:c r="G117" s="11"/>
      <x:c r="H117" s="15"/>
      <x:c r="I117" s="11"/>
      <x:c r="J117" s="11"/>
      <x:c r="K117" s="11"/>
      <x:c r="L117" s="15"/>
      <x:c r="M117" s="14"/>
      <x:c r="N117" s="11"/>
    </x:row>
    <x:row r="118" ht="60" customHeight="1">
      <x:c r="A118" s="11"/>
      <x:c r="B118" s="11"/>
      <x:c r="C118" s="11"/>
      <x:c r="D118" s="11"/>
      <x:c r="E118" s="11"/>
      <x:c r="F118" s="11"/>
      <x:c r="G118" s="11"/>
      <x:c r="H118" s="15"/>
      <x:c r="I118" s="11"/>
      <x:c r="J118" s="11"/>
      <x:c r="K118" s="11"/>
      <x:c r="L118" s="15"/>
      <x:c r="M118" s="14"/>
      <x:c r="N118" s="11"/>
    </x:row>
    <x:row r="119" ht="60" customHeight="1">
      <x:c r="A119" s="11"/>
      <x:c r="B119" s="11"/>
      <x:c r="C119" s="11"/>
      <x:c r="D119" s="11"/>
      <x:c r="E119" s="11"/>
      <x:c r="F119" s="11"/>
      <x:c r="G119" s="11"/>
      <x:c r="H119" s="15"/>
      <x:c r="I119" s="11"/>
      <x:c r="J119" s="11"/>
      <x:c r="K119" s="11"/>
      <x:c r="L119" s="15"/>
      <x:c r="M119" s="14"/>
      <x:c r="N119" s="11"/>
    </x:row>
    <x:row r="120" ht="60" customHeight="1">
      <x:c r="A120" s="11"/>
      <x:c r="B120" s="11"/>
      <x:c r="C120" s="11"/>
      <x:c r="D120" s="11"/>
      <x:c r="E120" s="11"/>
      <x:c r="F120" s="11"/>
      <x:c r="G120" s="11"/>
      <x:c r="H120" s="15"/>
      <x:c r="I120" s="11"/>
      <x:c r="J120" s="11"/>
      <x:c r="K120" s="11"/>
      <x:c r="L120" s="15"/>
      <x:c r="M120" s="14"/>
      <x:c r="N120" s="11"/>
    </x:row>
    <x:row r="121" ht="60" customHeight="1">
      <x:c r="A121" s="11"/>
      <x:c r="B121" s="11"/>
      <x:c r="C121" s="11"/>
      <x:c r="D121" s="11"/>
      <x:c r="E121" s="11"/>
      <x:c r="F121" s="11"/>
      <x:c r="G121" s="11"/>
      <x:c r="H121" s="15"/>
      <x:c r="I121" s="11"/>
      <x:c r="J121" s="11"/>
      <x:c r="K121" s="11"/>
      <x:c r="L121" s="15"/>
      <x:c r="M121" s="14"/>
      <x:c r="N121" s="11"/>
    </x:row>
    <x:row r="122" ht="60" customHeight="1">
      <x:c r="A122" s="11"/>
      <x:c r="B122" s="11"/>
      <x:c r="C122" s="11"/>
      <x:c r="D122" s="11"/>
      <x:c r="E122" s="11"/>
      <x:c r="F122" s="11"/>
      <x:c r="G122" s="11"/>
      <x:c r="H122" s="15"/>
      <x:c r="I122" s="11"/>
      <x:c r="J122" s="11"/>
      <x:c r="K122" s="11"/>
      <x:c r="L122" s="15"/>
      <x:c r="M122" s="14"/>
      <x:c r="N122" s="11"/>
    </x:row>
    <x:row r="123" ht="60" customHeight="1">
      <x:c r="A123" s="11"/>
      <x:c r="B123" s="11"/>
      <x:c r="C123" s="11"/>
      <x:c r="D123" s="11"/>
      <x:c r="E123" s="11"/>
      <x:c r="F123" s="11"/>
      <x:c r="G123" s="11"/>
      <x:c r="H123" s="15"/>
      <x:c r="I123" s="11"/>
      <x:c r="J123" s="11"/>
      <x:c r="K123" s="11"/>
      <x:c r="L123" s="15"/>
      <x:c r="M123" s="14"/>
      <x:c r="N123" s="11"/>
    </x:row>
    <x:row r="124" ht="60" customHeight="1">
      <x:c r="A124" s="11"/>
      <x:c r="B124" s="11"/>
      <x:c r="C124" s="11"/>
      <x:c r="D124" s="11"/>
      <x:c r="E124" s="11"/>
      <x:c r="F124" s="11"/>
      <x:c r="G124" s="11"/>
      <x:c r="H124" s="15"/>
      <x:c r="I124" s="11"/>
      <x:c r="J124" s="11"/>
      <x:c r="K124" s="11"/>
      <x:c r="L124" s="15"/>
      <x:c r="M124" s="14"/>
      <x:c r="N124" s="11"/>
    </x:row>
    <x:row r="125" ht="60" customHeight="1">
      <x:c r="A125" s="11"/>
      <x:c r="B125" s="11"/>
      <x:c r="C125" s="11"/>
      <x:c r="D125" s="11"/>
      <x:c r="E125" s="11"/>
      <x:c r="F125" s="11"/>
      <x:c r="G125" s="11"/>
      <x:c r="H125" s="15"/>
      <x:c r="I125" s="11"/>
      <x:c r="J125" s="11"/>
      <x:c r="K125" s="11"/>
      <x:c r="L125" s="15"/>
      <x:c r="M125" s="14"/>
      <x:c r="N125" s="11"/>
    </x:row>
    <x:row r="126" ht="60" customHeight="1">
      <x:c r="A126" s="11"/>
      <x:c r="B126" s="11"/>
      <x:c r="C126" s="11"/>
      <x:c r="D126" s="11"/>
      <x:c r="E126" s="11"/>
      <x:c r="F126" s="11"/>
      <x:c r="G126" s="11"/>
      <x:c r="H126" s="15"/>
      <x:c r="I126" s="11"/>
      <x:c r="J126" s="11"/>
      <x:c r="K126" s="11"/>
      <x:c r="L126" s="15"/>
      <x:c r="M126" s="14"/>
      <x:c r="N126" s="11"/>
    </x:row>
    <x:row r="127" ht="60" customHeight="1">
      <x:c r="A127" s="11"/>
      <x:c r="B127" s="11"/>
      <x:c r="C127" s="11"/>
      <x:c r="D127" s="11"/>
      <x:c r="E127" s="11"/>
      <x:c r="F127" s="11"/>
      <x:c r="G127" s="11"/>
      <x:c r="H127" s="15"/>
      <x:c r="I127" s="11"/>
      <x:c r="J127" s="11"/>
      <x:c r="K127" s="11"/>
      <x:c r="L127" s="15"/>
      <x:c r="M127" s="14"/>
      <x:c r="N127" s="11"/>
    </x:row>
    <x:row r="128" ht="60" customHeight="1">
      <x:c r="A128" s="11"/>
      <x:c r="B128" s="11"/>
      <x:c r="C128" s="11"/>
      <x:c r="D128" s="11"/>
      <x:c r="E128" s="11"/>
      <x:c r="F128" s="11"/>
      <x:c r="G128" s="11"/>
      <x:c r="H128" s="15"/>
      <x:c r="I128" s="11"/>
      <x:c r="J128" s="11"/>
      <x:c r="K128" s="11"/>
      <x:c r="L128" s="15"/>
      <x:c r="M128" s="14"/>
      <x:c r="N128" s="11"/>
    </x:row>
    <x:row r="129" ht="60" customHeight="1">
      <x:c r="A129" s="11"/>
      <x:c r="B129" s="11"/>
      <x:c r="C129" s="11"/>
      <x:c r="D129" s="11"/>
      <x:c r="E129" s="11"/>
      <x:c r="F129" s="11"/>
      <x:c r="G129" s="11"/>
      <x:c r="H129" s="15"/>
      <x:c r="I129" s="11"/>
      <x:c r="J129" s="11"/>
      <x:c r="K129" s="11"/>
      <x:c r="L129" s="15"/>
      <x:c r="M129" s="14"/>
      <x:c r="N129" s="11"/>
    </x:row>
    <x:row r="130" ht="60" customHeight="1">
      <x:c r="A130" s="11"/>
      <x:c r="B130" s="11"/>
      <x:c r="C130" s="11"/>
      <x:c r="D130" s="11"/>
      <x:c r="E130" s="11"/>
      <x:c r="F130" s="11"/>
      <x:c r="G130" s="11"/>
      <x:c r="H130" s="15"/>
      <x:c r="I130" s="11"/>
      <x:c r="J130" s="11"/>
      <x:c r="K130" s="11"/>
      <x:c r="L130" s="15"/>
      <x:c r="M130" s="14"/>
      <x:c r="N130" s="11"/>
    </x:row>
    <x:row r="131" ht="60" customHeight="1">
      <x:c r="A131" s="11"/>
      <x:c r="B131" s="11"/>
      <x:c r="C131" s="11"/>
      <x:c r="D131" s="11"/>
      <x:c r="E131" s="11"/>
      <x:c r="F131" s="11"/>
      <x:c r="G131" s="11"/>
      <x:c r="H131" s="15"/>
      <x:c r="I131" s="11"/>
      <x:c r="J131" s="11"/>
      <x:c r="K131" s="11"/>
      <x:c r="L131" s="15"/>
      <x:c r="M131" s="14"/>
      <x:c r="N131" s="11"/>
    </x:row>
    <x:row r="132" ht="60" customHeight="1">
      <x:c r="A132" s="11"/>
      <x:c r="B132" s="11"/>
      <x:c r="C132" s="11"/>
      <x:c r="D132" s="11"/>
      <x:c r="E132" s="11"/>
      <x:c r="F132" s="11"/>
      <x:c r="G132" s="11"/>
      <x:c r="H132" s="15"/>
      <x:c r="I132" s="11"/>
      <x:c r="J132" s="11"/>
      <x:c r="K132" s="11"/>
      <x:c r="L132" s="15"/>
      <x:c r="M132" s="14"/>
      <x:c r="N132" s="11"/>
    </x:row>
    <x:row r="133" ht="60" customHeight="1">
      <x:c r="A133" s="11"/>
      <x:c r="B133" s="11"/>
      <x:c r="C133" s="11"/>
      <x:c r="D133" s="11"/>
      <x:c r="E133" s="11"/>
      <x:c r="F133" s="11"/>
      <x:c r="G133" s="11"/>
      <x:c r="H133" s="15"/>
      <x:c r="I133" s="11"/>
      <x:c r="J133" s="11"/>
      <x:c r="K133" s="11"/>
      <x:c r="L133" s="15"/>
      <x:c r="M133" s="14"/>
      <x:c r="N133" s="11"/>
    </x:row>
    <x:row r="134" ht="60" customHeight="1">
      <x:c r="A134" s="11"/>
      <x:c r="B134" s="11"/>
      <x:c r="C134" s="11"/>
      <x:c r="D134" s="11"/>
      <x:c r="E134" s="11"/>
      <x:c r="F134" s="11"/>
      <x:c r="G134" s="11"/>
      <x:c r="H134" s="15"/>
      <x:c r="I134" s="11"/>
      <x:c r="J134" s="11"/>
      <x:c r="K134" s="11"/>
      <x:c r="L134" s="15"/>
      <x:c r="M134" s="14"/>
      <x:c r="N134" s="11"/>
    </x:row>
    <x:row r="135" ht="60" customHeight="1">
      <x:c r="A135" s="11"/>
      <x:c r="B135" s="11"/>
      <x:c r="C135" s="11"/>
      <x:c r="D135" s="11"/>
      <x:c r="E135" s="11"/>
      <x:c r="F135" s="11"/>
      <x:c r="G135" s="11"/>
      <x:c r="H135" s="15"/>
      <x:c r="I135" s="11"/>
      <x:c r="J135" s="11"/>
      <x:c r="K135" s="11"/>
      <x:c r="L135" s="15"/>
      <x:c r="M135" s="14"/>
      <x:c r="N135" s="11"/>
    </x:row>
    <x:row r="136" ht="60" customHeight="1">
      <x:c r="A136" s="11"/>
      <x:c r="B136" s="11"/>
      <x:c r="C136" s="11"/>
      <x:c r="D136" s="11"/>
      <x:c r="E136" s="11"/>
      <x:c r="F136" s="11"/>
      <x:c r="G136" s="11"/>
      <x:c r="H136" s="15"/>
      <x:c r="I136" s="11"/>
      <x:c r="J136" s="11"/>
      <x:c r="K136" s="11"/>
      <x:c r="L136" s="15"/>
      <x:c r="M136" s="14"/>
      <x:c r="N136" s="11"/>
    </x:row>
    <x:row r="137" ht="60" customHeight="1">
      <x:c r="A137" s="11"/>
      <x:c r="B137" s="11"/>
      <x:c r="C137" s="11"/>
      <x:c r="D137" s="11"/>
      <x:c r="E137" s="11"/>
      <x:c r="F137" s="11"/>
      <x:c r="G137" s="11"/>
      <x:c r="H137" s="15"/>
      <x:c r="I137" s="11"/>
      <x:c r="J137" s="11"/>
      <x:c r="K137" s="11"/>
      <x:c r="L137" s="15"/>
      <x:c r="M137" s="14"/>
      <x:c r="N137" s="11"/>
    </x:row>
    <x:row r="138" ht="60" customHeight="1">
      <x:c r="A138" s="11"/>
      <x:c r="B138" s="11"/>
      <x:c r="C138" s="11"/>
      <x:c r="D138" s="11"/>
      <x:c r="E138" s="11"/>
      <x:c r="F138" s="11"/>
      <x:c r="G138" s="11"/>
      <x:c r="H138" s="15"/>
      <x:c r="I138" s="11"/>
      <x:c r="J138" s="11"/>
      <x:c r="K138" s="11"/>
      <x:c r="L138" s="15"/>
      <x:c r="M138" s="14"/>
      <x:c r="N138" s="11"/>
    </x:row>
    <x:row r="139" ht="60" customHeight="1">
      <x:c r="A139" s="11"/>
      <x:c r="B139" s="11"/>
      <x:c r="C139" s="11"/>
      <x:c r="D139" s="11"/>
      <x:c r="E139" s="11"/>
      <x:c r="F139" s="11"/>
      <x:c r="G139" s="11"/>
      <x:c r="H139" s="15"/>
      <x:c r="I139" s="11"/>
      <x:c r="J139" s="11"/>
      <x:c r="K139" s="11"/>
      <x:c r="L139" s="15"/>
      <x:c r="M139" s="14"/>
      <x:c r="N139" s="11"/>
    </x:row>
    <x:row r="140" ht="60" customHeight="1">
      <x:c r="A140" s="11"/>
      <x:c r="B140" s="11"/>
      <x:c r="C140" s="11"/>
      <x:c r="D140" s="11"/>
      <x:c r="E140" s="11"/>
      <x:c r="F140" s="11"/>
      <x:c r="G140" s="11"/>
      <x:c r="H140" s="15"/>
      <x:c r="I140" s="11"/>
      <x:c r="J140" s="11"/>
      <x:c r="K140" s="11"/>
      <x:c r="L140" s="15"/>
      <x:c r="M140" s="14"/>
      <x:c r="N140" s="11"/>
    </x:row>
    <x:row r="141" ht="60" customHeight="1">
      <x:c r="A141" s="11"/>
      <x:c r="B141" s="11"/>
      <x:c r="C141" s="11"/>
      <x:c r="D141" s="11"/>
      <x:c r="E141" s="11"/>
      <x:c r="F141" s="11"/>
      <x:c r="G141" s="11"/>
      <x:c r="H141" s="15"/>
      <x:c r="I141" s="11"/>
      <x:c r="J141" s="11"/>
      <x:c r="K141" s="11"/>
      <x:c r="L141" s="15"/>
      <x:c r="M141" s="14"/>
      <x:c r="N141" s="11"/>
    </x:row>
    <x:row r="142" ht="60" customHeight="1">
      <x:c r="A142" s="11"/>
      <x:c r="B142" s="11"/>
      <x:c r="C142" s="11"/>
      <x:c r="D142" s="11"/>
      <x:c r="E142" s="11"/>
      <x:c r="F142" s="11"/>
      <x:c r="G142" s="11"/>
      <x:c r="H142" s="15"/>
      <x:c r="I142" s="11"/>
      <x:c r="J142" s="11"/>
      <x:c r="K142" s="11"/>
      <x:c r="L142" s="15"/>
      <x:c r="M142" s="14"/>
      <x:c r="N142" s="11"/>
    </x:row>
    <x:row r="143" ht="60" customHeight="1">
      <x:c r="A143" s="11"/>
      <x:c r="B143" s="11"/>
      <x:c r="C143" s="11"/>
      <x:c r="D143" s="11"/>
      <x:c r="E143" s="11"/>
      <x:c r="F143" s="11"/>
      <x:c r="G143" s="11"/>
      <x:c r="H143" s="15"/>
      <x:c r="I143" s="11"/>
      <x:c r="J143" s="11"/>
      <x:c r="K143" s="11"/>
      <x:c r="L143" s="15"/>
      <x:c r="M143" s="14"/>
      <x:c r="N143" s="11"/>
    </x:row>
    <x:row r="144" ht="60" customHeight="1">
      <x:c r="A144" s="11"/>
      <x:c r="B144" s="11"/>
      <x:c r="C144" s="11"/>
      <x:c r="D144" s="11"/>
      <x:c r="E144" s="11"/>
      <x:c r="F144" s="11"/>
      <x:c r="G144" s="11"/>
      <x:c r="H144" s="15"/>
      <x:c r="I144" s="11"/>
      <x:c r="J144" s="11"/>
      <x:c r="K144" s="11"/>
      <x:c r="L144" s="15"/>
      <x:c r="M144" s="14"/>
      <x:c r="N144" s="11"/>
    </x:row>
    <x:row r="145" ht="60" customHeight="1">
      <x:c r="A145" s="11"/>
      <x:c r="B145" s="11"/>
      <x:c r="C145" s="11"/>
      <x:c r="D145" s="11"/>
      <x:c r="E145" s="11"/>
      <x:c r="F145" s="11"/>
      <x:c r="G145" s="11"/>
      <x:c r="H145" s="15"/>
      <x:c r="I145" s="11"/>
      <x:c r="J145" s="11"/>
      <x:c r="K145" s="11"/>
      <x:c r="L145" s="15"/>
      <x:c r="M145" s="14"/>
      <x:c r="N145" s="11"/>
    </x:row>
    <x:row r="146" ht="60" customHeight="1">
      <x:c r="A146" s="11"/>
      <x:c r="B146" s="11"/>
      <x:c r="C146" s="11"/>
      <x:c r="D146" s="11"/>
      <x:c r="E146" s="11"/>
      <x:c r="F146" s="11"/>
      <x:c r="G146" s="11"/>
      <x:c r="H146" s="15"/>
      <x:c r="I146" s="11"/>
      <x:c r="J146" s="11"/>
      <x:c r="K146" s="11"/>
      <x:c r="L146" s="15"/>
      <x:c r="M146" s="14"/>
      <x:c r="N146" s="11"/>
    </x:row>
    <x:row r="147" ht="60" customHeight="1">
      <x:c r="A147" s="11"/>
      <x:c r="B147" s="11"/>
      <x:c r="C147" s="11"/>
      <x:c r="D147" s="11"/>
      <x:c r="E147" s="11"/>
      <x:c r="F147" s="11"/>
      <x:c r="G147" s="11"/>
      <x:c r="H147" s="15"/>
      <x:c r="I147" s="11"/>
      <x:c r="J147" s="11"/>
      <x:c r="K147" s="11"/>
      <x:c r="L147" s="15"/>
      <x:c r="M147" s="14"/>
      <x:c r="N147" s="11"/>
    </x:row>
    <x:row r="148" ht="60" customHeight="1">
      <x:c r="A148" s="11"/>
      <x:c r="B148" s="11"/>
      <x:c r="C148" s="11"/>
      <x:c r="D148" s="11"/>
      <x:c r="E148" s="11"/>
      <x:c r="F148" s="11"/>
      <x:c r="G148" s="11"/>
      <x:c r="H148" s="15"/>
      <x:c r="I148" s="11"/>
      <x:c r="J148" s="11"/>
      <x:c r="K148" s="11"/>
      <x:c r="L148" s="15"/>
      <x:c r="M148" s="14"/>
      <x:c r="N148" s="11"/>
    </x:row>
    <x:row r="149" ht="60" customHeight="1">
      <x:c r="A149" s="11"/>
      <x:c r="B149" s="11"/>
      <x:c r="C149" s="11"/>
      <x:c r="D149" s="11"/>
      <x:c r="E149" s="11"/>
      <x:c r="F149" s="11"/>
      <x:c r="G149" s="11"/>
      <x:c r="H149" s="15"/>
      <x:c r="I149" s="11"/>
      <x:c r="J149" s="11"/>
      <x:c r="K149" s="11"/>
      <x:c r="L149" s="15"/>
      <x:c r="M149" s="14"/>
      <x:c r="N149" s="11"/>
    </x:row>
    <x:row r="150" ht="60" customHeight="1">
      <x:c r="A150" s="11"/>
      <x:c r="B150" s="11"/>
      <x:c r="C150" s="11"/>
      <x:c r="D150" s="11"/>
      <x:c r="E150" s="11"/>
      <x:c r="F150" s="11"/>
      <x:c r="G150" s="11"/>
      <x:c r="H150" s="15"/>
      <x:c r="I150" s="11"/>
      <x:c r="J150" s="11"/>
      <x:c r="K150" s="11"/>
      <x:c r="L150" s="15"/>
      <x:c r="M150" s="14"/>
      <x:c r="N150" s="11"/>
    </x:row>
    <x:row r="151" ht="60" customHeight="1">
      <x:c r="A151" s="11"/>
      <x:c r="B151" s="11"/>
      <x:c r="C151" s="11"/>
      <x:c r="D151" s="11"/>
      <x:c r="E151" s="11"/>
      <x:c r="F151" s="11"/>
      <x:c r="G151" s="11"/>
      <x:c r="H151" s="15"/>
      <x:c r="I151" s="11"/>
      <x:c r="J151" s="11"/>
      <x:c r="K151" s="11"/>
      <x:c r="L151" s="15"/>
      <x:c r="M151" s="14"/>
      <x:c r="N151" s="11"/>
    </x:row>
    <x:row r="152" ht="60" customHeight="1">
      <x:c r="A152" s="11"/>
      <x:c r="B152" s="11"/>
      <x:c r="C152" s="11"/>
      <x:c r="D152" s="11"/>
      <x:c r="E152" s="11"/>
      <x:c r="F152" s="11"/>
      <x:c r="G152" s="11"/>
      <x:c r="H152" s="15"/>
      <x:c r="I152" s="11"/>
      <x:c r="J152" s="11"/>
      <x:c r="K152" s="11"/>
      <x:c r="L152" s="15"/>
      <x:c r="M152" s="14"/>
      <x:c r="N152" s="11"/>
    </x:row>
    <x:row r="153" ht="60" customHeight="1">
      <x:c r="A153" s="11"/>
      <x:c r="B153" s="11"/>
      <x:c r="C153" s="11"/>
      <x:c r="D153" s="11"/>
      <x:c r="E153" s="11"/>
      <x:c r="F153" s="11"/>
      <x:c r="G153" s="11"/>
      <x:c r="H153" s="15"/>
      <x:c r="I153" s="11"/>
      <x:c r="J153" s="11"/>
      <x:c r="K153" s="11"/>
      <x:c r="L153" s="15"/>
      <x:c r="M153" s="14"/>
      <x:c r="N153" s="11"/>
    </x:row>
    <x:row r="154" ht="60" customHeight="1">
      <x:c r="A154" s="11"/>
      <x:c r="B154" s="11"/>
      <x:c r="C154" s="11"/>
      <x:c r="D154" s="11"/>
      <x:c r="E154" s="11"/>
      <x:c r="F154" s="11"/>
      <x:c r="G154" s="11"/>
      <x:c r="H154" s="15"/>
      <x:c r="I154" s="11"/>
      <x:c r="J154" s="11"/>
      <x:c r="K154" s="11"/>
      <x:c r="L154" s="15"/>
      <x:c r="M154" s="14"/>
      <x:c r="N154" s="11"/>
    </x:row>
    <x:row r="155" ht="60" customHeight="1">
      <x:c r="A155" s="11"/>
      <x:c r="B155" s="11"/>
      <x:c r="C155" s="11"/>
      <x:c r="D155" s="11"/>
      <x:c r="E155" s="11"/>
      <x:c r="F155" s="11"/>
      <x:c r="G155" s="11"/>
      <x:c r="H155" s="15"/>
      <x:c r="I155" s="11"/>
      <x:c r="J155" s="11"/>
      <x:c r="K155" s="11"/>
      <x:c r="L155" s="15"/>
      <x:c r="M155" s="14"/>
      <x:c r="N155" s="11"/>
    </x:row>
    <x:row r="156" ht="60" customHeight="1">
      <x:c r="A156" s="11"/>
      <x:c r="B156" s="11"/>
      <x:c r="C156" s="11"/>
      <x:c r="D156" s="11"/>
      <x:c r="E156" s="11"/>
      <x:c r="F156" s="11"/>
      <x:c r="G156" s="11"/>
      <x:c r="H156" s="15"/>
      <x:c r="I156" s="11"/>
      <x:c r="J156" s="11"/>
      <x:c r="K156" s="11"/>
      <x:c r="L156" s="15"/>
      <x:c r="M156" s="14"/>
      <x:c r="N156" s="11"/>
    </x:row>
    <x:row r="157" ht="60" customHeight="1">
      <x:c r="A157" s="11"/>
      <x:c r="B157" s="11"/>
      <x:c r="C157" s="11"/>
      <x:c r="D157" s="11"/>
      <x:c r="E157" s="11"/>
      <x:c r="F157" s="11"/>
      <x:c r="G157" s="11"/>
      <x:c r="H157" s="15"/>
      <x:c r="I157" s="11"/>
      <x:c r="J157" s="11"/>
      <x:c r="K157" s="11"/>
      <x:c r="L157" s="15"/>
      <x:c r="M157" s="14"/>
      <x:c r="N157" s="11"/>
    </x:row>
    <x:row r="158" ht="60" customHeight="1">
      <x:c r="A158" s="11"/>
      <x:c r="B158" s="11"/>
      <x:c r="C158" s="11"/>
      <x:c r="D158" s="11"/>
      <x:c r="E158" s="11"/>
      <x:c r="F158" s="11"/>
      <x:c r="G158" s="11"/>
      <x:c r="H158" s="15"/>
      <x:c r="I158" s="11"/>
      <x:c r="J158" s="11"/>
      <x:c r="K158" s="11"/>
      <x:c r="L158" s="15"/>
      <x:c r="M158" s="14"/>
      <x:c r="N158" s="11"/>
    </x:row>
    <x:row r="159" ht="60" customHeight="1">
      <x:c r="A159" s="11"/>
      <x:c r="B159" s="11"/>
      <x:c r="C159" s="11"/>
      <x:c r="D159" s="11"/>
      <x:c r="E159" s="11"/>
      <x:c r="F159" s="11"/>
      <x:c r="G159" s="11"/>
      <x:c r="H159" s="15"/>
      <x:c r="I159" s="11"/>
      <x:c r="J159" s="11"/>
      <x:c r="K159" s="11"/>
      <x:c r="L159" s="15"/>
      <x:c r="M159" s="14"/>
      <x:c r="N159" s="11"/>
    </x:row>
    <x:row r="160" ht="60" customHeight="1">
      <x:c r="A160" s="11"/>
      <x:c r="B160" s="11"/>
      <x:c r="C160" s="11"/>
      <x:c r="D160" s="11"/>
      <x:c r="E160" s="11"/>
      <x:c r="F160" s="11"/>
      <x:c r="G160" s="11"/>
      <x:c r="H160" s="15"/>
      <x:c r="I160" s="11"/>
      <x:c r="J160" s="11"/>
      <x:c r="K160" s="11"/>
      <x:c r="L160" s="15"/>
      <x:c r="M160" s="14"/>
      <x:c r="N160" s="11"/>
    </x:row>
    <x:row r="161" ht="60" customHeight="1">
      <x:c r="A161" s="11"/>
      <x:c r="B161" s="11"/>
      <x:c r="C161" s="11"/>
      <x:c r="D161" s="11"/>
      <x:c r="E161" s="11"/>
      <x:c r="F161" s="11"/>
      <x:c r="G161" s="11"/>
      <x:c r="H161" s="15"/>
      <x:c r="I161" s="11"/>
      <x:c r="J161" s="11"/>
      <x:c r="K161" s="11"/>
      <x:c r="L161" s="15"/>
      <x:c r="M161" s="14"/>
      <x:c r="N161" s="11"/>
    </x:row>
    <x:row r="162" ht="60" customHeight="1">
      <x:c r="A162" s="11"/>
      <x:c r="B162" s="11"/>
      <x:c r="C162" s="11"/>
      <x:c r="D162" s="11"/>
      <x:c r="E162" s="11"/>
      <x:c r="F162" s="11"/>
      <x:c r="G162" s="11"/>
      <x:c r="H162" s="15"/>
      <x:c r="I162" s="11"/>
      <x:c r="J162" s="11"/>
      <x:c r="K162" s="11"/>
      <x:c r="L162" s="15"/>
      <x:c r="M162" s="14"/>
      <x:c r="N162" s="11"/>
    </x:row>
    <x:row r="163" ht="60" customHeight="1">
      <x:c r="A163" s="11"/>
      <x:c r="B163" s="11"/>
      <x:c r="C163" s="11"/>
      <x:c r="D163" s="11"/>
      <x:c r="E163" s="11"/>
      <x:c r="F163" s="11"/>
      <x:c r="G163" s="11"/>
      <x:c r="H163" s="15"/>
      <x:c r="I163" s="11"/>
      <x:c r="J163" s="11"/>
      <x:c r="K163" s="11"/>
      <x:c r="L163" s="15"/>
      <x:c r="M163" s="14"/>
      <x:c r="N163" s="11"/>
    </x:row>
    <x:row r="164" ht="60" customHeight="1">
      <x:c r="A164" s="11"/>
      <x:c r="B164" s="11"/>
      <x:c r="C164" s="11"/>
      <x:c r="D164" s="11"/>
      <x:c r="E164" s="11"/>
      <x:c r="F164" s="11"/>
      <x:c r="G164" s="11"/>
      <x:c r="H164" s="15"/>
      <x:c r="I164" s="11"/>
      <x:c r="J164" s="11"/>
      <x:c r="K164" s="11"/>
      <x:c r="L164" s="15"/>
      <x:c r="M164" s="14"/>
      <x:c r="N164" s="11"/>
    </x:row>
    <x:row r="165" ht="60" customHeight="1">
      <x:c r="A165" s="11"/>
      <x:c r="B165" s="11"/>
      <x:c r="C165" s="11"/>
      <x:c r="D165" s="11"/>
      <x:c r="E165" s="11"/>
      <x:c r="F165" s="11"/>
      <x:c r="G165" s="11"/>
      <x:c r="H165" s="15"/>
      <x:c r="I165" s="11"/>
      <x:c r="J165" s="11"/>
      <x:c r="K165" s="11"/>
      <x:c r="L165" s="15"/>
      <x:c r="M165" s="14"/>
      <x:c r="N165" s="11"/>
    </x:row>
    <x:row r="166" ht="60" customHeight="1">
      <x:c r="A166" s="11"/>
      <x:c r="B166" s="11"/>
      <x:c r="C166" s="11"/>
      <x:c r="D166" s="11"/>
      <x:c r="E166" s="11"/>
      <x:c r="F166" s="11"/>
      <x:c r="G166" s="11"/>
      <x:c r="H166" s="15"/>
      <x:c r="I166" s="11"/>
      <x:c r="J166" s="11"/>
      <x:c r="K166" s="11"/>
      <x:c r="L166" s="15"/>
      <x:c r="M166" s="14"/>
      <x:c r="N166" s="11"/>
    </x:row>
    <x:row r="167" ht="60" customHeight="1">
      <x:c r="A167" s="11"/>
      <x:c r="B167" s="11"/>
      <x:c r="C167" s="11"/>
      <x:c r="D167" s="11"/>
      <x:c r="E167" s="11"/>
      <x:c r="F167" s="11"/>
      <x:c r="G167" s="11"/>
      <x:c r="H167" s="15"/>
      <x:c r="I167" s="11"/>
      <x:c r="J167" s="11"/>
      <x:c r="K167" s="11"/>
      <x:c r="L167" s="15"/>
      <x:c r="M167" s="14"/>
      <x:c r="N167" s="11"/>
    </x:row>
    <x:row r="168" ht="60" customHeight="1">
      <x:c r="A168" s="11"/>
      <x:c r="B168" s="11"/>
      <x:c r="C168" s="11"/>
      <x:c r="D168" s="11"/>
      <x:c r="E168" s="11"/>
      <x:c r="F168" s="11"/>
      <x:c r="G168" s="11"/>
      <x:c r="H168" s="15"/>
      <x:c r="I168" s="11"/>
      <x:c r="J168" s="11"/>
      <x:c r="K168" s="11"/>
      <x:c r="L168" s="15"/>
      <x:c r="M168" s="14"/>
      <x:c r="N168" s="11"/>
    </x:row>
    <x:row r="169" ht="60" customHeight="1">
      <x:c r="A169" s="11"/>
      <x:c r="B169" s="11"/>
      <x:c r="C169" s="11"/>
      <x:c r="D169" s="11"/>
      <x:c r="E169" s="11"/>
      <x:c r="F169" s="11"/>
      <x:c r="G169" s="11"/>
      <x:c r="H169" s="15"/>
      <x:c r="I169" s="11"/>
      <x:c r="J169" s="11"/>
      <x:c r="K169" s="11"/>
      <x:c r="L169" s="15"/>
      <x:c r="M169" s="14"/>
      <x:c r="N169" s="11"/>
    </x:row>
    <x:row r="170" ht="60" customHeight="1">
      <x:c r="A170" s="11"/>
      <x:c r="B170" s="11"/>
      <x:c r="C170" s="11"/>
      <x:c r="D170" s="11"/>
      <x:c r="E170" s="11"/>
      <x:c r="F170" s="11"/>
      <x:c r="G170" s="11"/>
      <x:c r="H170" s="15"/>
      <x:c r="I170" s="11"/>
      <x:c r="J170" s="11"/>
      <x:c r="K170" s="11"/>
      <x:c r="L170" s="15"/>
      <x:c r="M170" s="14"/>
      <x:c r="N170" s="11"/>
    </x:row>
    <x:row r="171" ht="60" customHeight="1">
      <x:c r="A171" s="11"/>
      <x:c r="B171" s="11"/>
      <x:c r="C171" s="11"/>
      <x:c r="D171" s="11"/>
      <x:c r="E171" s="11"/>
      <x:c r="F171" s="11"/>
      <x:c r="G171" s="11"/>
      <x:c r="H171" s="15"/>
      <x:c r="I171" s="11"/>
      <x:c r="J171" s="11"/>
      <x:c r="K171" s="11"/>
      <x:c r="L171" s="15"/>
      <x:c r="M171" s="14"/>
      <x:c r="N171" s="11"/>
    </x:row>
    <x:row r="172" ht="60" customHeight="1">
      <x:c r="A172" s="11"/>
      <x:c r="B172" s="11"/>
      <x:c r="C172" s="11"/>
      <x:c r="D172" s="11"/>
      <x:c r="E172" s="11"/>
      <x:c r="F172" s="11"/>
      <x:c r="G172" s="11"/>
      <x:c r="H172" s="15"/>
      <x:c r="I172" s="11"/>
      <x:c r="J172" s="11"/>
      <x:c r="K172" s="11"/>
      <x:c r="L172" s="15"/>
      <x:c r="M172" s="14"/>
      <x:c r="N172" s="11"/>
    </x:row>
    <x:row r="173" ht="60" customHeight="1">
      <x:c r="A173" s="11"/>
      <x:c r="B173" s="11"/>
      <x:c r="C173" s="11"/>
      <x:c r="D173" s="11"/>
      <x:c r="E173" s="11"/>
      <x:c r="F173" s="11"/>
      <x:c r="G173" s="11"/>
      <x:c r="H173" s="15"/>
      <x:c r="I173" s="11"/>
      <x:c r="J173" s="11"/>
      <x:c r="K173" s="11"/>
      <x:c r="L173" s="15"/>
      <x:c r="M173" s="14"/>
      <x:c r="N173" s="11"/>
    </x:row>
    <x:row r="174" ht="60" customHeight="1">
      <x:c r="A174" s="11"/>
      <x:c r="B174" s="11"/>
      <x:c r="C174" s="11"/>
      <x:c r="D174" s="11"/>
      <x:c r="E174" s="11"/>
      <x:c r="F174" s="11"/>
      <x:c r="G174" s="11"/>
      <x:c r="H174" s="15"/>
      <x:c r="I174" s="11"/>
      <x:c r="J174" s="11"/>
      <x:c r="K174" s="11"/>
      <x:c r="L174" s="15"/>
      <x:c r="M174" s="14"/>
      <x:c r="N174" s="11"/>
    </x:row>
    <x:row r="175" ht="60" customHeight="1">
      <x:c r="A175" s="11"/>
      <x:c r="B175" s="11"/>
      <x:c r="C175" s="11"/>
      <x:c r="D175" s="11"/>
      <x:c r="E175" s="11"/>
      <x:c r="F175" s="11"/>
      <x:c r="G175" s="11"/>
      <x:c r="H175" s="15"/>
      <x:c r="I175" s="11"/>
      <x:c r="J175" s="11"/>
      <x:c r="K175" s="11"/>
      <x:c r="L175" s="15"/>
      <x:c r="M175" s="14"/>
      <x:c r="N175" s="11"/>
    </x:row>
    <x:row r="176" ht="60" customHeight="1">
      <x:c r="A176" s="11"/>
      <x:c r="B176" s="11"/>
      <x:c r="C176" s="11"/>
      <x:c r="D176" s="11"/>
      <x:c r="E176" s="11"/>
      <x:c r="F176" s="11"/>
      <x:c r="G176" s="11"/>
      <x:c r="H176" s="15"/>
      <x:c r="I176" s="11"/>
      <x:c r="J176" s="11"/>
      <x:c r="K176" s="11"/>
      <x:c r="L176" s="15"/>
      <x:c r="M176" s="14"/>
      <x:c r="N176" s="11"/>
    </x:row>
    <x:row r="177" ht="60" customHeight="1">
      <x:c r="A177" s="11"/>
      <x:c r="B177" s="11"/>
      <x:c r="C177" s="11"/>
      <x:c r="D177" s="11"/>
      <x:c r="E177" s="11"/>
      <x:c r="F177" s="11"/>
      <x:c r="G177" s="11"/>
      <x:c r="H177" s="15"/>
      <x:c r="I177" s="11"/>
      <x:c r="J177" s="11"/>
      <x:c r="K177" s="11"/>
      <x:c r="L177" s="15"/>
      <x:c r="M177" s="14"/>
      <x:c r="N177" s="11"/>
    </x:row>
    <x:row r="178" ht="60" customHeight="1">
      <x:c r="A178" s="11"/>
      <x:c r="B178" s="11"/>
      <x:c r="C178" s="11"/>
      <x:c r="D178" s="11"/>
      <x:c r="E178" s="11"/>
      <x:c r="F178" s="11"/>
      <x:c r="G178" s="11"/>
      <x:c r="H178" s="15"/>
      <x:c r="I178" s="11"/>
      <x:c r="J178" s="11"/>
      <x:c r="K178" s="11"/>
      <x:c r="L178" s="15"/>
      <x:c r="M178" s="14"/>
      <x:c r="N178" s="11"/>
    </x:row>
    <x:row r="179" ht="60" customHeight="1">
      <x:c r="A179" s="11"/>
      <x:c r="B179" s="11"/>
      <x:c r="C179" s="11"/>
      <x:c r="D179" s="11"/>
      <x:c r="E179" s="11"/>
      <x:c r="F179" s="11"/>
      <x:c r="G179" s="11"/>
      <x:c r="H179" s="15"/>
      <x:c r="I179" s="11"/>
      <x:c r="J179" s="11"/>
      <x:c r="K179" s="11"/>
      <x:c r="L179" s="15"/>
      <x:c r="M179" s="14"/>
      <x:c r="N179" s="11"/>
    </x:row>
    <x:row r="180" ht="60" customHeight="1">
      <x:c r="A180" s="11"/>
      <x:c r="B180" s="11"/>
      <x:c r="C180" s="11"/>
      <x:c r="D180" s="11"/>
      <x:c r="E180" s="11"/>
      <x:c r="F180" s="11"/>
      <x:c r="G180" s="11"/>
      <x:c r="H180" s="15"/>
      <x:c r="I180" s="11"/>
      <x:c r="J180" s="11"/>
      <x:c r="K180" s="11"/>
      <x:c r="L180" s="15"/>
      <x:c r="M180" s="14"/>
      <x:c r="N180" s="11"/>
    </x:row>
    <x:row r="181" ht="60" customHeight="1">
      <x:c r="A181" s="11"/>
      <x:c r="B181" s="11"/>
      <x:c r="C181" s="11"/>
      <x:c r="D181" s="11"/>
      <x:c r="E181" s="11"/>
      <x:c r="F181" s="11"/>
      <x:c r="G181" s="11"/>
      <x:c r="H181" s="15"/>
      <x:c r="I181" s="11"/>
      <x:c r="J181" s="11"/>
      <x:c r="K181" s="11"/>
      <x:c r="L181" s="15"/>
      <x:c r="M181" s="14"/>
      <x:c r="N181" s="11"/>
    </x:row>
    <x:row r="182" ht="60" customHeight="1">
      <x:c r="A182" s="11"/>
      <x:c r="B182" s="11"/>
      <x:c r="C182" s="11"/>
      <x:c r="D182" s="11"/>
      <x:c r="E182" s="11"/>
      <x:c r="F182" s="11"/>
      <x:c r="G182" s="11"/>
      <x:c r="H182" s="15"/>
      <x:c r="I182" s="11"/>
      <x:c r="J182" s="11"/>
      <x:c r="K182" s="11"/>
      <x:c r="L182" s="15"/>
      <x:c r="M182" s="14"/>
      <x:c r="N182" s="11"/>
    </x:row>
    <x:row r="183" ht="60" customHeight="1">
      <x:c r="A183" s="11"/>
      <x:c r="B183" s="11"/>
      <x:c r="C183" s="11"/>
      <x:c r="D183" s="11"/>
      <x:c r="E183" s="11"/>
      <x:c r="F183" s="11"/>
      <x:c r="G183" s="11"/>
      <x:c r="H183" s="15"/>
      <x:c r="I183" s="11"/>
      <x:c r="J183" s="11"/>
      <x:c r="K183" s="11"/>
      <x:c r="L183" s="15"/>
      <x:c r="M183" s="14"/>
      <x:c r="N183" s="11"/>
    </x:row>
    <x:row r="184" ht="60" customHeight="1">
      <x:c r="A184" s="11"/>
      <x:c r="B184" s="11"/>
      <x:c r="C184" s="11"/>
      <x:c r="D184" s="11"/>
      <x:c r="E184" s="11"/>
      <x:c r="F184" s="11"/>
      <x:c r="G184" s="11"/>
      <x:c r="H184" s="15"/>
      <x:c r="I184" s="11"/>
      <x:c r="J184" s="11"/>
      <x:c r="K184" s="11"/>
      <x:c r="L184" s="15"/>
      <x:c r="M184" s="14"/>
      <x:c r="N184" s="11"/>
    </x:row>
    <x:row r="185" ht="60" customHeight="1">
      <x:c r="A185" s="11"/>
      <x:c r="B185" s="11"/>
      <x:c r="C185" s="11"/>
      <x:c r="D185" s="11"/>
      <x:c r="E185" s="11"/>
      <x:c r="F185" s="11"/>
      <x:c r="G185" s="11"/>
      <x:c r="H185" s="15"/>
      <x:c r="I185" s="11"/>
      <x:c r="J185" s="11"/>
      <x:c r="K185" s="11"/>
      <x:c r="L185" s="15"/>
      <x:c r="M185" s="14"/>
      <x:c r="N185" s="11"/>
    </x:row>
    <x:row r="186" ht="60" customHeight="1">
      <x:c r="A186" s="11"/>
      <x:c r="B186" s="11"/>
      <x:c r="C186" s="11"/>
      <x:c r="D186" s="11"/>
      <x:c r="E186" s="11"/>
      <x:c r="F186" s="11"/>
      <x:c r="G186" s="11"/>
      <x:c r="H186" s="15"/>
      <x:c r="I186" s="11"/>
      <x:c r="J186" s="11"/>
      <x:c r="K186" s="11"/>
      <x:c r="L186" s="15"/>
      <x:c r="M186" s="14"/>
      <x:c r="N186" s="11"/>
    </x:row>
    <x:row r="187" ht="60" customHeight="1">
      <x:c r="A187" s="11"/>
      <x:c r="B187" s="11"/>
      <x:c r="C187" s="11"/>
      <x:c r="D187" s="11"/>
      <x:c r="E187" s="11"/>
      <x:c r="F187" s="11"/>
      <x:c r="G187" s="11"/>
      <x:c r="H187" s="15"/>
      <x:c r="I187" s="11"/>
      <x:c r="J187" s="11"/>
      <x:c r="K187" s="11"/>
      <x:c r="L187" s="15"/>
      <x:c r="M187" s="14"/>
      <x:c r="N187" s="11"/>
    </x:row>
    <x:row r="188" ht="60" customHeight="1">
      <x:c r="A188" s="11"/>
      <x:c r="B188" s="11"/>
      <x:c r="C188" s="11"/>
      <x:c r="D188" s="11"/>
      <x:c r="E188" s="11"/>
      <x:c r="F188" s="11"/>
      <x:c r="G188" s="11"/>
      <x:c r="H188" s="15"/>
      <x:c r="I188" s="11"/>
      <x:c r="J188" s="11"/>
      <x:c r="K188" s="11"/>
      <x:c r="L188" s="15"/>
      <x:c r="M188" s="14"/>
      <x:c r="N188" s="11"/>
    </x:row>
    <x:row r="189" ht="60" customHeight="1">
      <x:c r="A189" s="11"/>
      <x:c r="B189" s="11"/>
      <x:c r="C189" s="11"/>
      <x:c r="D189" s="11"/>
      <x:c r="E189" s="11"/>
      <x:c r="F189" s="11"/>
      <x:c r="G189" s="11"/>
      <x:c r="H189" s="15"/>
      <x:c r="I189" s="11"/>
      <x:c r="J189" s="11"/>
      <x:c r="K189" s="11"/>
      <x:c r="L189" s="15"/>
      <x:c r="M189" s="14"/>
      <x:c r="N189" s="11"/>
    </x:row>
    <x:row r="190" ht="60" customHeight="1">
      <x:c r="A190" s="11"/>
      <x:c r="B190" s="11"/>
      <x:c r="C190" s="11"/>
      <x:c r="D190" s="11"/>
      <x:c r="E190" s="11"/>
      <x:c r="F190" s="11"/>
      <x:c r="G190" s="11"/>
      <x:c r="H190" s="15"/>
      <x:c r="I190" s="11"/>
      <x:c r="J190" s="11"/>
      <x:c r="K190" s="11"/>
      <x:c r="L190" s="15"/>
      <x:c r="M190" s="14"/>
      <x:c r="N190" s="11"/>
    </x:row>
    <x:row r="191" ht="60" customHeight="1">
      <x:c r="A191" s="11"/>
      <x:c r="B191" s="11"/>
      <x:c r="C191" s="11"/>
      <x:c r="D191" s="11"/>
      <x:c r="E191" s="11"/>
      <x:c r="F191" s="11"/>
      <x:c r="G191" s="11"/>
      <x:c r="H191" s="15"/>
      <x:c r="I191" s="11"/>
      <x:c r="J191" s="11"/>
      <x:c r="K191" s="11"/>
      <x:c r="L191" s="15"/>
      <x:c r="M191" s="14"/>
      <x:c r="N191" s="11"/>
    </x:row>
    <x:row r="192" ht="60" customHeight="1">
      <x:c r="A192" s="11"/>
      <x:c r="B192" s="11"/>
      <x:c r="C192" s="11"/>
      <x:c r="D192" s="11"/>
      <x:c r="E192" s="11"/>
      <x:c r="F192" s="11"/>
      <x:c r="G192" s="11"/>
      <x:c r="H192" s="15"/>
      <x:c r="I192" s="11"/>
      <x:c r="J192" s="11"/>
      <x:c r="K192" s="11"/>
      <x:c r="L192" s="15"/>
      <x:c r="M192" s="14"/>
      <x:c r="N192" s="11"/>
    </x:row>
    <x:row r="193" ht="60" customHeight="1">
      <x:c r="A193" s="11"/>
      <x:c r="B193" s="11"/>
      <x:c r="C193" s="11"/>
      <x:c r="D193" s="11"/>
      <x:c r="E193" s="11"/>
      <x:c r="F193" s="11"/>
      <x:c r="G193" s="11"/>
      <x:c r="H193" s="15"/>
      <x:c r="I193" s="11"/>
      <x:c r="J193" s="11"/>
      <x:c r="K193" s="11"/>
      <x:c r="L193" s="15"/>
      <x:c r="M193" s="14"/>
      <x:c r="N193" s="11"/>
    </x:row>
    <x:row r="194" ht="60" customHeight="1">
      <x:c r="A194" s="11"/>
      <x:c r="B194" s="11"/>
      <x:c r="C194" s="11"/>
      <x:c r="D194" s="11"/>
      <x:c r="E194" s="11"/>
      <x:c r="F194" s="11"/>
      <x:c r="G194" s="11"/>
      <x:c r="H194" s="15"/>
      <x:c r="I194" s="11"/>
      <x:c r="J194" s="11"/>
      <x:c r="K194" s="11"/>
      <x:c r="L194" s="15"/>
      <x:c r="M194" s="14"/>
      <x:c r="N194" s="11"/>
    </x:row>
    <x:row r="195" ht="60" customHeight="1">
      <x:c r="A195" s="11"/>
      <x:c r="B195" s="11"/>
      <x:c r="C195" s="11"/>
      <x:c r="D195" s="11"/>
      <x:c r="E195" s="11"/>
      <x:c r="F195" s="11"/>
      <x:c r="G195" s="11"/>
      <x:c r="H195" s="15"/>
      <x:c r="I195" s="11"/>
      <x:c r="J195" s="11"/>
      <x:c r="K195" s="11"/>
      <x:c r="L195" s="15"/>
      <x:c r="M195" s="14"/>
      <x:c r="N195" s="11"/>
    </x:row>
    <x:row r="196" ht="60" customHeight="1">
      <x:c r="A196" s="11"/>
      <x:c r="B196" s="11"/>
      <x:c r="C196" s="11"/>
      <x:c r="D196" s="11"/>
      <x:c r="E196" s="11"/>
      <x:c r="F196" s="11"/>
      <x:c r="G196" s="11"/>
      <x:c r="H196" s="15"/>
      <x:c r="I196" s="11"/>
      <x:c r="J196" s="11"/>
      <x:c r="K196" s="11"/>
      <x:c r="L196" s="15"/>
      <x:c r="M196" s="14"/>
      <x:c r="N196" s="11"/>
    </x:row>
    <x:row r="197" ht="60" customHeight="1">
      <x:c r="A197" s="11"/>
      <x:c r="B197" s="11"/>
      <x:c r="C197" s="11"/>
      <x:c r="D197" s="11"/>
      <x:c r="E197" s="11"/>
      <x:c r="F197" s="11"/>
      <x:c r="G197" s="11"/>
      <x:c r="H197" s="15"/>
      <x:c r="I197" s="11"/>
      <x:c r="J197" s="11"/>
      <x:c r="K197" s="11"/>
      <x:c r="L197" s="15"/>
      <x:c r="M197" s="14"/>
      <x:c r="N197" s="11"/>
    </x:row>
    <x:row r="198" ht="60" customHeight="1">
      <x:c r="A198" s="11"/>
      <x:c r="B198" s="11"/>
      <x:c r="C198" s="11"/>
      <x:c r="D198" s="11"/>
      <x:c r="E198" s="11"/>
      <x:c r="F198" s="11"/>
      <x:c r="G198" s="11"/>
      <x:c r="H198" s="15"/>
      <x:c r="I198" s="11"/>
      <x:c r="J198" s="11"/>
      <x:c r="K198" s="11"/>
      <x:c r="L198" s="15"/>
      <x:c r="M198" s="14"/>
      <x:c r="N198" s="11"/>
    </x:row>
    <x:row r="199" ht="60" customHeight="1">
      <x:c r="A199" s="11"/>
      <x:c r="B199" s="11"/>
      <x:c r="C199" s="11"/>
      <x:c r="D199" s="11"/>
      <x:c r="E199" s="11"/>
      <x:c r="F199" s="11"/>
      <x:c r="G199" s="11"/>
      <x:c r="H199" s="15"/>
      <x:c r="I199" s="11"/>
      <x:c r="J199" s="11"/>
      <x:c r="K199" s="11"/>
      <x:c r="L199" s="15"/>
      <x:c r="M199" s="14"/>
      <x:c r="N199" s="11"/>
    </x:row>
    <x:row r="200" ht="60" customHeight="1">
      <x:c r="A200" s="11"/>
      <x:c r="B200" s="11"/>
      <x:c r="C200" s="11"/>
      <x:c r="D200" s="11"/>
      <x:c r="E200" s="11"/>
      <x:c r="F200" s="11"/>
      <x:c r="G200" s="11"/>
      <x:c r="H200" s="15"/>
      <x:c r="I200" s="11"/>
      <x:c r="J200" s="11"/>
      <x:c r="K200" s="11"/>
      <x:c r="L200" s="15"/>
      <x:c r="M200" s="14"/>
      <x:c r="N200" s="11"/>
    </x:row>
    <x:row r="201" ht="60" customHeight="1">
      <x:c r="A201" s="11"/>
      <x:c r="B201" s="11"/>
      <x:c r="C201" s="11"/>
      <x:c r="D201" s="11"/>
      <x:c r="E201" s="11"/>
      <x:c r="F201" s="11"/>
      <x:c r="G201" s="11"/>
      <x:c r="H201" s="15"/>
      <x:c r="I201" s="11"/>
      <x:c r="J201" s="11"/>
      <x:c r="K201" s="11"/>
      <x:c r="L201" s="15"/>
      <x:c r="M201" s="14"/>
      <x:c r="N201" s="11"/>
    </x:row>
    <x:row r="202" ht="60" customHeight="1">
      <x:c r="A202" s="11"/>
      <x:c r="B202" s="11"/>
      <x:c r="C202" s="11"/>
      <x:c r="D202" s="11"/>
      <x:c r="E202" s="11"/>
      <x:c r="F202" s="11"/>
      <x:c r="G202" s="11"/>
      <x:c r="H202" s="15"/>
      <x:c r="I202" s="11"/>
      <x:c r="J202" s="11"/>
      <x:c r="K202" s="11"/>
      <x:c r="L202" s="15"/>
      <x:c r="M202" s="14"/>
      <x:c r="N202" s="11"/>
    </x:row>
    <x:row r="203" ht="60" customHeight="1">
      <x:c r="A203" s="11"/>
      <x:c r="B203" s="11"/>
      <x:c r="C203" s="11"/>
      <x:c r="D203" s="11"/>
      <x:c r="E203" s="11"/>
      <x:c r="F203" s="11"/>
      <x:c r="G203" s="11"/>
      <x:c r="H203" s="15"/>
      <x:c r="I203" s="11"/>
      <x:c r="J203" s="11"/>
      <x:c r="K203" s="11"/>
      <x:c r="L203" s="15"/>
      <x:c r="M203" s="14"/>
      <x:c r="N203" s="11"/>
    </x:row>
    <x:row r="204" ht="60" customHeight="1">
      <x:c r="A204" s="11"/>
      <x:c r="B204" s="11"/>
      <x:c r="C204" s="11"/>
      <x:c r="D204" s="11"/>
      <x:c r="E204" s="11"/>
      <x:c r="F204" s="11"/>
      <x:c r="G204" s="11"/>
      <x:c r="H204" s="15"/>
      <x:c r="I204" s="11"/>
      <x:c r="J204" s="11"/>
      <x:c r="K204" s="11"/>
      <x:c r="L204" s="15"/>
      <x:c r="M204" s="14"/>
      <x:c r="N204" s="11"/>
    </x:row>
    <x:row r="205" ht="60" customHeight="1">
      <x:c r="A205" s="11"/>
      <x:c r="B205" s="11"/>
      <x:c r="C205" s="11"/>
      <x:c r="D205" s="11"/>
      <x:c r="E205" s="11"/>
      <x:c r="F205" s="11"/>
      <x:c r="G205" s="11"/>
      <x:c r="H205" s="15"/>
      <x:c r="I205" s="11"/>
      <x:c r="J205" s="11"/>
      <x:c r="K205" s="11"/>
      <x:c r="L205" s="15"/>
      <x:c r="M205" s="14"/>
      <x:c r="N205" s="11"/>
    </x:row>
    <x:row r="206" ht="60" customHeight="1">
      <x:c r="A206" s="11"/>
      <x:c r="B206" s="11"/>
      <x:c r="C206" s="11"/>
      <x:c r="D206" s="11"/>
      <x:c r="E206" s="11"/>
      <x:c r="F206" s="11"/>
      <x:c r="G206" s="11"/>
      <x:c r="H206" s="15"/>
      <x:c r="I206" s="11"/>
      <x:c r="J206" s="11"/>
      <x:c r="K206" s="11"/>
      <x:c r="L206" s="15"/>
      <x:c r="M206" s="14"/>
      <x:c r="N206" s="11"/>
    </x:row>
  </x:sheetData>
  <x:conditionalFormatting sqref="I7:I206">
    <x:cfRule type="containsText" dxfId="7" priority="1" operator="containsText" text="Conflict"/>
  </x:conditionalFormatting>
  <x:dataValidations count="1">
    <x:dataValidation type="list" sqref="I7:I206">
      <x:formula1>"Open,In Progress,Ready for Verification,Closed,Conflict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e54b449250493f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6" customHeight="1">
      <x:c r="A2" s="2" t="str">
        <x:v>Turnover and closeout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2" customHeight="1">
      <x:c r="A6" s="8" t="str">
        <x:v>Turnover ID</x:v>
      </x:c>
      <x:c r="B6" s="8" t="str">
        <x:v>Project ID</x:v>
      </x:c>
      <x:c r="C6" s="8" t="str">
        <x:v>WBS ID</x:v>
      </x:c>
      <x:c r="D6" s="8" t="str">
        <x:v>Deliverable Type</x:v>
      </x:c>
      <x:c r="E6" s="8" t="str">
        <x:v>Description</x:v>
      </x:c>
      <x:c r="F6" s="8" t="str">
        <x:v>Responsibility Receiver</x:v>
      </x:c>
      <x:c r="G6" s="8" t="str">
        <x:v>Owner</x:v>
      </x:c>
      <x:c r="H6" s="8" t="str">
        <x:v>Due Date</x:v>
      </x:c>
      <x:c r="I6" s="8" t="str">
        <x:v>Status</x:v>
      </x:c>
      <x:c r="J6" s="8" t="str">
        <x:v>Blocking Issue Reference</x:v>
      </x:c>
      <x:c r="K6" s="8" t="str">
        <x:v>Evidence Reference</x:v>
      </x:c>
      <x:c r="L6" s="8" t="str">
        <x:v>Reviewer</x:v>
      </x:c>
      <x:c r="M6" s="8" t="str">
        <x:v>Review Date</x:v>
      </x:c>
      <x:c r="N6" s="8" t="str">
        <x:v>Revision</x:v>
      </x:c>
      <x:c r="O6" s="8" t="str">
        <x:v>Source Reference</x:v>
      </x:c>
    </x:row>
    <x:row r="7" ht="60" customHeight="1">
      <x:c r="A7" s="11"/>
      <x:c r="B7" s="11"/>
      <x:c r="C7" s="11"/>
      <x:c r="D7" s="11"/>
      <x:c r="E7" s="11"/>
      <x:c r="F7" s="11"/>
      <x:c r="G7" s="11"/>
      <x:c r="H7" s="15"/>
      <x:c r="I7" s="11"/>
      <x:c r="J7" s="11"/>
      <x:c r="K7" s="11"/>
      <x:c r="L7" s="11"/>
      <x:c r="M7" s="15"/>
      <x:c r="N7" s="14"/>
      <x:c r="O7" s="11"/>
    </x:row>
    <x:row r="8" ht="60" customHeight="1">
      <x:c r="A8" s="11"/>
      <x:c r="B8" s="11"/>
      <x:c r="C8" s="11"/>
      <x:c r="D8" s="11"/>
      <x:c r="E8" s="11"/>
      <x:c r="F8" s="11"/>
      <x:c r="G8" s="11"/>
      <x:c r="H8" s="15"/>
      <x:c r="I8" s="11"/>
      <x:c r="J8" s="11"/>
      <x:c r="K8" s="11"/>
      <x:c r="L8" s="11"/>
      <x:c r="M8" s="15"/>
      <x:c r="N8" s="14"/>
      <x:c r="O8" s="11"/>
    </x:row>
    <x:row r="9" ht="60" customHeight="1">
      <x:c r="A9" s="11"/>
      <x:c r="B9" s="11"/>
      <x:c r="C9" s="11"/>
      <x:c r="D9" s="11"/>
      <x:c r="E9" s="11"/>
      <x:c r="F9" s="11"/>
      <x:c r="G9" s="11"/>
      <x:c r="H9" s="15"/>
      <x:c r="I9" s="11"/>
      <x:c r="J9" s="11"/>
      <x:c r="K9" s="11"/>
      <x:c r="L9" s="11"/>
      <x:c r="M9" s="15"/>
      <x:c r="N9" s="14"/>
      <x:c r="O9" s="11"/>
    </x:row>
    <x:row r="10" ht="60" customHeight="1">
      <x:c r="A10" s="11"/>
      <x:c r="B10" s="11"/>
      <x:c r="C10" s="11"/>
      <x:c r="D10" s="11"/>
      <x:c r="E10" s="11"/>
      <x:c r="F10" s="11"/>
      <x:c r="G10" s="11"/>
      <x:c r="H10" s="15"/>
      <x:c r="I10" s="11"/>
      <x:c r="J10" s="11"/>
      <x:c r="K10" s="11"/>
      <x:c r="L10" s="11"/>
      <x:c r="M10" s="15"/>
      <x:c r="N10" s="14"/>
      <x:c r="O10" s="11"/>
    </x:row>
    <x:row r="11" ht="60" customHeight="1">
      <x:c r="A11" s="11"/>
      <x:c r="B11" s="11"/>
      <x:c r="C11" s="11"/>
      <x:c r="D11" s="11"/>
      <x:c r="E11" s="11"/>
      <x:c r="F11" s="11"/>
      <x:c r="G11" s="11"/>
      <x:c r="H11" s="15"/>
      <x:c r="I11" s="11"/>
      <x:c r="J11" s="11"/>
      <x:c r="K11" s="11"/>
      <x:c r="L11" s="11"/>
      <x:c r="M11" s="15"/>
      <x:c r="N11" s="14"/>
      <x:c r="O11" s="11"/>
    </x:row>
    <x:row r="12" ht="60" customHeight="1">
      <x:c r="A12" s="11"/>
      <x:c r="B12" s="11"/>
      <x:c r="C12" s="11"/>
      <x:c r="D12" s="11"/>
      <x:c r="E12" s="11"/>
      <x:c r="F12" s="11"/>
      <x:c r="G12" s="11"/>
      <x:c r="H12" s="15"/>
      <x:c r="I12" s="11"/>
      <x:c r="J12" s="11"/>
      <x:c r="K12" s="11"/>
      <x:c r="L12" s="11"/>
      <x:c r="M12" s="15"/>
      <x:c r="N12" s="14"/>
      <x:c r="O12" s="11"/>
    </x:row>
    <x:row r="13" ht="60" customHeight="1">
      <x:c r="A13" s="11"/>
      <x:c r="B13" s="11"/>
      <x:c r="C13" s="11"/>
      <x:c r="D13" s="11"/>
      <x:c r="E13" s="11"/>
      <x:c r="F13" s="11"/>
      <x:c r="G13" s="11"/>
      <x:c r="H13" s="15"/>
      <x:c r="I13" s="11"/>
      <x:c r="J13" s="11"/>
      <x:c r="K13" s="11"/>
      <x:c r="L13" s="11"/>
      <x:c r="M13" s="15"/>
      <x:c r="N13" s="14"/>
      <x:c r="O13" s="11"/>
    </x:row>
    <x:row r="14" ht="60" customHeight="1">
      <x:c r="A14" s="11"/>
      <x:c r="B14" s="11"/>
      <x:c r="C14" s="11"/>
      <x:c r="D14" s="11"/>
      <x:c r="E14" s="11"/>
      <x:c r="F14" s="11"/>
      <x:c r="G14" s="11"/>
      <x:c r="H14" s="15"/>
      <x:c r="I14" s="11"/>
      <x:c r="J14" s="11"/>
      <x:c r="K14" s="11"/>
      <x:c r="L14" s="11"/>
      <x:c r="M14" s="15"/>
      <x:c r="N14" s="14"/>
      <x:c r="O14" s="11"/>
    </x:row>
    <x:row r="15" ht="60" customHeight="1">
      <x:c r="A15" s="11"/>
      <x:c r="B15" s="11"/>
      <x:c r="C15" s="11"/>
      <x:c r="D15" s="11"/>
      <x:c r="E15" s="11"/>
      <x:c r="F15" s="11"/>
      <x:c r="G15" s="11"/>
      <x:c r="H15" s="15"/>
      <x:c r="I15" s="11"/>
      <x:c r="J15" s="11"/>
      <x:c r="K15" s="11"/>
      <x:c r="L15" s="11"/>
      <x:c r="M15" s="15"/>
      <x:c r="N15" s="14"/>
      <x:c r="O15" s="11"/>
    </x:row>
    <x:row r="16" ht="60" customHeight="1">
      <x:c r="A16" s="11"/>
      <x:c r="B16" s="11"/>
      <x:c r="C16" s="11"/>
      <x:c r="D16" s="11"/>
      <x:c r="E16" s="11"/>
      <x:c r="F16" s="11"/>
      <x:c r="G16" s="11"/>
      <x:c r="H16" s="15"/>
      <x:c r="I16" s="11"/>
      <x:c r="J16" s="11"/>
      <x:c r="K16" s="11"/>
      <x:c r="L16" s="11"/>
      <x:c r="M16" s="15"/>
      <x:c r="N16" s="14"/>
      <x:c r="O16" s="11"/>
    </x:row>
    <x:row r="17" ht="60" customHeight="1">
      <x:c r="A17" s="11"/>
      <x:c r="B17" s="11"/>
      <x:c r="C17" s="11"/>
      <x:c r="D17" s="11"/>
      <x:c r="E17" s="11"/>
      <x:c r="F17" s="11"/>
      <x:c r="G17" s="11"/>
      <x:c r="H17" s="15"/>
      <x:c r="I17" s="11"/>
      <x:c r="J17" s="11"/>
      <x:c r="K17" s="11"/>
      <x:c r="L17" s="11"/>
      <x:c r="M17" s="15"/>
      <x:c r="N17" s="14"/>
      <x:c r="O17" s="11"/>
    </x:row>
    <x:row r="18" ht="60" customHeight="1">
      <x:c r="A18" s="11"/>
      <x:c r="B18" s="11"/>
      <x:c r="C18" s="11"/>
      <x:c r="D18" s="11"/>
      <x:c r="E18" s="11"/>
      <x:c r="F18" s="11"/>
      <x:c r="G18" s="11"/>
      <x:c r="H18" s="15"/>
      <x:c r="I18" s="11"/>
      <x:c r="J18" s="11"/>
      <x:c r="K18" s="11"/>
      <x:c r="L18" s="11"/>
      <x:c r="M18" s="15"/>
      <x:c r="N18" s="14"/>
      <x:c r="O18" s="11"/>
    </x:row>
    <x:row r="19" ht="60" customHeight="1">
      <x:c r="A19" s="11"/>
      <x:c r="B19" s="11"/>
      <x:c r="C19" s="11"/>
      <x:c r="D19" s="11"/>
      <x:c r="E19" s="11"/>
      <x:c r="F19" s="11"/>
      <x:c r="G19" s="11"/>
      <x:c r="H19" s="15"/>
      <x:c r="I19" s="11"/>
      <x:c r="J19" s="11"/>
      <x:c r="K19" s="11"/>
      <x:c r="L19" s="11"/>
      <x:c r="M19" s="15"/>
      <x:c r="N19" s="14"/>
      <x:c r="O19" s="11"/>
    </x:row>
    <x:row r="20" ht="60" customHeight="1">
      <x:c r="A20" s="11"/>
      <x:c r="B20" s="11"/>
      <x:c r="C20" s="11"/>
      <x:c r="D20" s="11"/>
      <x:c r="E20" s="11"/>
      <x:c r="F20" s="11"/>
      <x:c r="G20" s="11"/>
      <x:c r="H20" s="15"/>
      <x:c r="I20" s="11"/>
      <x:c r="J20" s="11"/>
      <x:c r="K20" s="11"/>
      <x:c r="L20" s="11"/>
      <x:c r="M20" s="15"/>
      <x:c r="N20" s="14"/>
      <x:c r="O20" s="11"/>
    </x:row>
    <x:row r="21" ht="60" customHeight="1">
      <x:c r="A21" s="11"/>
      <x:c r="B21" s="11"/>
      <x:c r="C21" s="11"/>
      <x:c r="D21" s="11"/>
      <x:c r="E21" s="11"/>
      <x:c r="F21" s="11"/>
      <x:c r="G21" s="11"/>
      <x:c r="H21" s="15"/>
      <x:c r="I21" s="11"/>
      <x:c r="J21" s="11"/>
      <x:c r="K21" s="11"/>
      <x:c r="L21" s="11"/>
      <x:c r="M21" s="15"/>
      <x:c r="N21" s="14"/>
      <x:c r="O21" s="11"/>
    </x:row>
    <x:row r="22" ht="60" customHeight="1">
      <x:c r="A22" s="11"/>
      <x:c r="B22" s="11"/>
      <x:c r="C22" s="11"/>
      <x:c r="D22" s="11"/>
      <x:c r="E22" s="11"/>
      <x:c r="F22" s="11"/>
      <x:c r="G22" s="11"/>
      <x:c r="H22" s="15"/>
      <x:c r="I22" s="11"/>
      <x:c r="J22" s="11"/>
      <x:c r="K22" s="11"/>
      <x:c r="L22" s="11"/>
      <x:c r="M22" s="15"/>
      <x:c r="N22" s="14"/>
      <x:c r="O22" s="11"/>
    </x:row>
    <x:row r="23" ht="60" customHeight="1">
      <x:c r="A23" s="11"/>
      <x:c r="B23" s="11"/>
      <x:c r="C23" s="11"/>
      <x:c r="D23" s="11"/>
      <x:c r="E23" s="11"/>
      <x:c r="F23" s="11"/>
      <x:c r="G23" s="11"/>
      <x:c r="H23" s="15"/>
      <x:c r="I23" s="11"/>
      <x:c r="J23" s="11"/>
      <x:c r="K23" s="11"/>
      <x:c r="L23" s="11"/>
      <x:c r="M23" s="15"/>
      <x:c r="N23" s="14"/>
      <x:c r="O23" s="11"/>
    </x:row>
    <x:row r="24" ht="60" customHeight="1">
      <x:c r="A24" s="11"/>
      <x:c r="B24" s="11"/>
      <x:c r="C24" s="11"/>
      <x:c r="D24" s="11"/>
      <x:c r="E24" s="11"/>
      <x:c r="F24" s="11"/>
      <x:c r="G24" s="11"/>
      <x:c r="H24" s="15"/>
      <x:c r="I24" s="11"/>
      <x:c r="J24" s="11"/>
      <x:c r="K24" s="11"/>
      <x:c r="L24" s="11"/>
      <x:c r="M24" s="15"/>
      <x:c r="N24" s="14"/>
      <x:c r="O24" s="11"/>
    </x:row>
    <x:row r="25" ht="60" customHeight="1">
      <x:c r="A25" s="11"/>
      <x:c r="B25" s="11"/>
      <x:c r="C25" s="11"/>
      <x:c r="D25" s="11"/>
      <x:c r="E25" s="11"/>
      <x:c r="F25" s="11"/>
      <x:c r="G25" s="11"/>
      <x:c r="H25" s="15"/>
      <x:c r="I25" s="11"/>
      <x:c r="J25" s="11"/>
      <x:c r="K25" s="11"/>
      <x:c r="L25" s="11"/>
      <x:c r="M25" s="15"/>
      <x:c r="N25" s="14"/>
      <x:c r="O25" s="11"/>
    </x:row>
    <x:row r="26" ht="60" customHeight="1">
      <x:c r="A26" s="11"/>
      <x:c r="B26" s="11"/>
      <x:c r="C26" s="11"/>
      <x:c r="D26" s="11"/>
      <x:c r="E26" s="11"/>
      <x:c r="F26" s="11"/>
      <x:c r="G26" s="11"/>
      <x:c r="H26" s="15"/>
      <x:c r="I26" s="11"/>
      <x:c r="J26" s="11"/>
      <x:c r="K26" s="11"/>
      <x:c r="L26" s="11"/>
      <x:c r="M26" s="15"/>
      <x:c r="N26" s="14"/>
      <x:c r="O26" s="11"/>
    </x:row>
    <x:row r="27" ht="60" customHeight="1">
      <x:c r="A27" s="11"/>
      <x:c r="B27" s="11"/>
      <x:c r="C27" s="11"/>
      <x:c r="D27" s="11"/>
      <x:c r="E27" s="11"/>
      <x:c r="F27" s="11"/>
      <x:c r="G27" s="11"/>
      <x:c r="H27" s="15"/>
      <x:c r="I27" s="11"/>
      <x:c r="J27" s="11"/>
      <x:c r="K27" s="11"/>
      <x:c r="L27" s="11"/>
      <x:c r="M27" s="15"/>
      <x:c r="N27" s="14"/>
      <x:c r="O27" s="11"/>
    </x:row>
    <x:row r="28" ht="60" customHeight="1">
      <x:c r="A28" s="11"/>
      <x:c r="B28" s="11"/>
      <x:c r="C28" s="11"/>
      <x:c r="D28" s="11"/>
      <x:c r="E28" s="11"/>
      <x:c r="F28" s="11"/>
      <x:c r="G28" s="11"/>
      <x:c r="H28" s="15"/>
      <x:c r="I28" s="11"/>
      <x:c r="J28" s="11"/>
      <x:c r="K28" s="11"/>
      <x:c r="L28" s="11"/>
      <x:c r="M28" s="15"/>
      <x:c r="N28" s="14"/>
      <x:c r="O28" s="11"/>
    </x:row>
    <x:row r="29" ht="60" customHeight="1">
      <x:c r="A29" s="11"/>
      <x:c r="B29" s="11"/>
      <x:c r="C29" s="11"/>
      <x:c r="D29" s="11"/>
      <x:c r="E29" s="11"/>
      <x:c r="F29" s="11"/>
      <x:c r="G29" s="11"/>
      <x:c r="H29" s="15"/>
      <x:c r="I29" s="11"/>
      <x:c r="J29" s="11"/>
      <x:c r="K29" s="11"/>
      <x:c r="L29" s="11"/>
      <x:c r="M29" s="15"/>
      <x:c r="N29" s="14"/>
      <x:c r="O29" s="11"/>
    </x:row>
    <x:row r="30" ht="60" customHeight="1">
      <x:c r="A30" s="11"/>
      <x:c r="B30" s="11"/>
      <x:c r="C30" s="11"/>
      <x:c r="D30" s="11"/>
      <x:c r="E30" s="11"/>
      <x:c r="F30" s="11"/>
      <x:c r="G30" s="11"/>
      <x:c r="H30" s="15"/>
      <x:c r="I30" s="11"/>
      <x:c r="J30" s="11"/>
      <x:c r="K30" s="11"/>
      <x:c r="L30" s="11"/>
      <x:c r="M30" s="15"/>
      <x:c r="N30" s="14"/>
      <x:c r="O30" s="11"/>
    </x:row>
    <x:row r="31" ht="60" customHeight="1">
      <x:c r="A31" s="11"/>
      <x:c r="B31" s="11"/>
      <x:c r="C31" s="11"/>
      <x:c r="D31" s="11"/>
      <x:c r="E31" s="11"/>
      <x:c r="F31" s="11"/>
      <x:c r="G31" s="11"/>
      <x:c r="H31" s="15"/>
      <x:c r="I31" s="11"/>
      <x:c r="J31" s="11"/>
      <x:c r="K31" s="11"/>
      <x:c r="L31" s="11"/>
      <x:c r="M31" s="15"/>
      <x:c r="N31" s="14"/>
      <x:c r="O31" s="11"/>
    </x:row>
    <x:row r="32" ht="60" customHeight="1">
      <x:c r="A32" s="11"/>
      <x:c r="B32" s="11"/>
      <x:c r="C32" s="11"/>
      <x:c r="D32" s="11"/>
      <x:c r="E32" s="11"/>
      <x:c r="F32" s="11"/>
      <x:c r="G32" s="11"/>
      <x:c r="H32" s="15"/>
      <x:c r="I32" s="11"/>
      <x:c r="J32" s="11"/>
      <x:c r="K32" s="11"/>
      <x:c r="L32" s="11"/>
      <x:c r="M32" s="15"/>
      <x:c r="N32" s="14"/>
      <x:c r="O32" s="11"/>
    </x:row>
    <x:row r="33" ht="60" customHeight="1">
      <x:c r="A33" s="11"/>
      <x:c r="B33" s="11"/>
      <x:c r="C33" s="11"/>
      <x:c r="D33" s="11"/>
      <x:c r="E33" s="11"/>
      <x:c r="F33" s="11"/>
      <x:c r="G33" s="11"/>
      <x:c r="H33" s="15"/>
      <x:c r="I33" s="11"/>
      <x:c r="J33" s="11"/>
      <x:c r="K33" s="11"/>
      <x:c r="L33" s="11"/>
      <x:c r="M33" s="15"/>
      <x:c r="N33" s="14"/>
      <x:c r="O33" s="11"/>
    </x:row>
    <x:row r="34" ht="60" customHeight="1">
      <x:c r="A34" s="11"/>
      <x:c r="B34" s="11"/>
      <x:c r="C34" s="11"/>
      <x:c r="D34" s="11"/>
      <x:c r="E34" s="11"/>
      <x:c r="F34" s="11"/>
      <x:c r="G34" s="11"/>
      <x:c r="H34" s="15"/>
      <x:c r="I34" s="11"/>
      <x:c r="J34" s="11"/>
      <x:c r="K34" s="11"/>
      <x:c r="L34" s="11"/>
      <x:c r="M34" s="15"/>
      <x:c r="N34" s="14"/>
      <x:c r="O34" s="11"/>
    </x:row>
    <x:row r="35" ht="60" customHeight="1">
      <x:c r="A35" s="11"/>
      <x:c r="B35" s="11"/>
      <x:c r="C35" s="11"/>
      <x:c r="D35" s="11"/>
      <x:c r="E35" s="11"/>
      <x:c r="F35" s="11"/>
      <x:c r="G35" s="11"/>
      <x:c r="H35" s="15"/>
      <x:c r="I35" s="11"/>
      <x:c r="J35" s="11"/>
      <x:c r="K35" s="11"/>
      <x:c r="L35" s="11"/>
      <x:c r="M35" s="15"/>
      <x:c r="N35" s="14"/>
      <x:c r="O35" s="11"/>
    </x:row>
    <x:row r="36" ht="60" customHeight="1">
      <x:c r="A36" s="11"/>
      <x:c r="B36" s="11"/>
      <x:c r="C36" s="11"/>
      <x:c r="D36" s="11"/>
      <x:c r="E36" s="11"/>
      <x:c r="F36" s="11"/>
      <x:c r="G36" s="11"/>
      <x:c r="H36" s="15"/>
      <x:c r="I36" s="11"/>
      <x:c r="J36" s="11"/>
      <x:c r="K36" s="11"/>
      <x:c r="L36" s="11"/>
      <x:c r="M36" s="15"/>
      <x:c r="N36" s="14"/>
      <x:c r="O36" s="11"/>
    </x:row>
    <x:row r="37" ht="60" customHeight="1">
      <x:c r="A37" s="11"/>
      <x:c r="B37" s="11"/>
      <x:c r="C37" s="11"/>
      <x:c r="D37" s="11"/>
      <x:c r="E37" s="11"/>
      <x:c r="F37" s="11"/>
      <x:c r="G37" s="11"/>
      <x:c r="H37" s="15"/>
      <x:c r="I37" s="11"/>
      <x:c r="J37" s="11"/>
      <x:c r="K37" s="11"/>
      <x:c r="L37" s="11"/>
      <x:c r="M37" s="15"/>
      <x:c r="N37" s="14"/>
      <x:c r="O37" s="11"/>
    </x:row>
    <x:row r="38" ht="60" customHeight="1">
      <x:c r="A38" s="11"/>
      <x:c r="B38" s="11"/>
      <x:c r="C38" s="11"/>
      <x:c r="D38" s="11"/>
      <x:c r="E38" s="11"/>
      <x:c r="F38" s="11"/>
      <x:c r="G38" s="11"/>
      <x:c r="H38" s="15"/>
      <x:c r="I38" s="11"/>
      <x:c r="J38" s="11"/>
      <x:c r="K38" s="11"/>
      <x:c r="L38" s="11"/>
      <x:c r="M38" s="15"/>
      <x:c r="N38" s="14"/>
      <x:c r="O38" s="11"/>
    </x:row>
    <x:row r="39" ht="60" customHeight="1">
      <x:c r="A39" s="11"/>
      <x:c r="B39" s="11"/>
      <x:c r="C39" s="11"/>
      <x:c r="D39" s="11"/>
      <x:c r="E39" s="11"/>
      <x:c r="F39" s="11"/>
      <x:c r="G39" s="11"/>
      <x:c r="H39" s="15"/>
      <x:c r="I39" s="11"/>
      <x:c r="J39" s="11"/>
      <x:c r="K39" s="11"/>
      <x:c r="L39" s="11"/>
      <x:c r="M39" s="15"/>
      <x:c r="N39" s="14"/>
      <x:c r="O39" s="11"/>
    </x:row>
    <x:row r="40" ht="60" customHeight="1">
      <x:c r="A40" s="11"/>
      <x:c r="B40" s="11"/>
      <x:c r="C40" s="11"/>
      <x:c r="D40" s="11"/>
      <x:c r="E40" s="11"/>
      <x:c r="F40" s="11"/>
      <x:c r="G40" s="11"/>
      <x:c r="H40" s="15"/>
      <x:c r="I40" s="11"/>
      <x:c r="J40" s="11"/>
      <x:c r="K40" s="11"/>
      <x:c r="L40" s="11"/>
      <x:c r="M40" s="15"/>
      <x:c r="N40" s="14"/>
      <x:c r="O40" s="11"/>
    </x:row>
    <x:row r="41" ht="60" customHeight="1">
      <x:c r="A41" s="11"/>
      <x:c r="B41" s="11"/>
      <x:c r="C41" s="11"/>
      <x:c r="D41" s="11"/>
      <x:c r="E41" s="11"/>
      <x:c r="F41" s="11"/>
      <x:c r="G41" s="11"/>
      <x:c r="H41" s="15"/>
      <x:c r="I41" s="11"/>
      <x:c r="J41" s="11"/>
      <x:c r="K41" s="11"/>
      <x:c r="L41" s="11"/>
      <x:c r="M41" s="15"/>
      <x:c r="N41" s="14"/>
      <x:c r="O41" s="11"/>
    </x:row>
    <x:row r="42" ht="60" customHeight="1">
      <x:c r="A42" s="11"/>
      <x:c r="B42" s="11"/>
      <x:c r="C42" s="11"/>
      <x:c r="D42" s="11"/>
      <x:c r="E42" s="11"/>
      <x:c r="F42" s="11"/>
      <x:c r="G42" s="11"/>
      <x:c r="H42" s="15"/>
      <x:c r="I42" s="11"/>
      <x:c r="J42" s="11"/>
      <x:c r="K42" s="11"/>
      <x:c r="L42" s="11"/>
      <x:c r="M42" s="15"/>
      <x:c r="N42" s="14"/>
      <x:c r="O42" s="11"/>
    </x:row>
    <x:row r="43" ht="60" customHeight="1">
      <x:c r="A43" s="11"/>
      <x:c r="B43" s="11"/>
      <x:c r="C43" s="11"/>
      <x:c r="D43" s="11"/>
      <x:c r="E43" s="11"/>
      <x:c r="F43" s="11"/>
      <x:c r="G43" s="11"/>
      <x:c r="H43" s="15"/>
      <x:c r="I43" s="11"/>
      <x:c r="J43" s="11"/>
      <x:c r="K43" s="11"/>
      <x:c r="L43" s="11"/>
      <x:c r="M43" s="15"/>
      <x:c r="N43" s="14"/>
      <x:c r="O43" s="11"/>
    </x:row>
    <x:row r="44" ht="60" customHeight="1">
      <x:c r="A44" s="11"/>
      <x:c r="B44" s="11"/>
      <x:c r="C44" s="11"/>
      <x:c r="D44" s="11"/>
      <x:c r="E44" s="11"/>
      <x:c r="F44" s="11"/>
      <x:c r="G44" s="11"/>
      <x:c r="H44" s="15"/>
      <x:c r="I44" s="11"/>
      <x:c r="J44" s="11"/>
      <x:c r="K44" s="11"/>
      <x:c r="L44" s="11"/>
      <x:c r="M44" s="15"/>
      <x:c r="N44" s="14"/>
      <x:c r="O44" s="11"/>
    </x:row>
    <x:row r="45" ht="60" customHeight="1">
      <x:c r="A45" s="11"/>
      <x:c r="B45" s="11"/>
      <x:c r="C45" s="11"/>
      <x:c r="D45" s="11"/>
      <x:c r="E45" s="11"/>
      <x:c r="F45" s="11"/>
      <x:c r="G45" s="11"/>
      <x:c r="H45" s="15"/>
      <x:c r="I45" s="11"/>
      <x:c r="J45" s="11"/>
      <x:c r="K45" s="11"/>
      <x:c r="L45" s="11"/>
      <x:c r="M45" s="15"/>
      <x:c r="N45" s="14"/>
      <x:c r="O45" s="11"/>
    </x:row>
    <x:row r="46" ht="60" customHeight="1">
      <x:c r="A46" s="11"/>
      <x:c r="B46" s="11"/>
      <x:c r="C46" s="11"/>
      <x:c r="D46" s="11"/>
      <x:c r="E46" s="11"/>
      <x:c r="F46" s="11"/>
      <x:c r="G46" s="11"/>
      <x:c r="H46" s="15"/>
      <x:c r="I46" s="11"/>
      <x:c r="J46" s="11"/>
      <x:c r="K46" s="11"/>
      <x:c r="L46" s="11"/>
      <x:c r="M46" s="15"/>
      <x:c r="N46" s="14"/>
      <x:c r="O46" s="11"/>
    </x:row>
    <x:row r="47" ht="60" customHeight="1">
      <x:c r="A47" s="11"/>
      <x:c r="B47" s="11"/>
      <x:c r="C47" s="11"/>
      <x:c r="D47" s="11"/>
      <x:c r="E47" s="11"/>
      <x:c r="F47" s="11"/>
      <x:c r="G47" s="11"/>
      <x:c r="H47" s="15"/>
      <x:c r="I47" s="11"/>
      <x:c r="J47" s="11"/>
      <x:c r="K47" s="11"/>
      <x:c r="L47" s="11"/>
      <x:c r="M47" s="15"/>
      <x:c r="N47" s="14"/>
      <x:c r="O47" s="11"/>
    </x:row>
    <x:row r="48" ht="60" customHeight="1">
      <x:c r="A48" s="11"/>
      <x:c r="B48" s="11"/>
      <x:c r="C48" s="11"/>
      <x:c r="D48" s="11"/>
      <x:c r="E48" s="11"/>
      <x:c r="F48" s="11"/>
      <x:c r="G48" s="11"/>
      <x:c r="H48" s="15"/>
      <x:c r="I48" s="11"/>
      <x:c r="J48" s="11"/>
      <x:c r="K48" s="11"/>
      <x:c r="L48" s="11"/>
      <x:c r="M48" s="15"/>
      <x:c r="N48" s="14"/>
      <x:c r="O48" s="11"/>
    </x:row>
    <x:row r="49" ht="60" customHeight="1">
      <x:c r="A49" s="11"/>
      <x:c r="B49" s="11"/>
      <x:c r="C49" s="11"/>
      <x:c r="D49" s="11"/>
      <x:c r="E49" s="11"/>
      <x:c r="F49" s="11"/>
      <x:c r="G49" s="11"/>
      <x:c r="H49" s="15"/>
      <x:c r="I49" s="11"/>
      <x:c r="J49" s="11"/>
      <x:c r="K49" s="11"/>
      <x:c r="L49" s="11"/>
      <x:c r="M49" s="15"/>
      <x:c r="N49" s="14"/>
      <x:c r="O49" s="11"/>
    </x:row>
    <x:row r="50" ht="60" customHeight="1">
      <x:c r="A50" s="11"/>
      <x:c r="B50" s="11"/>
      <x:c r="C50" s="11"/>
      <x:c r="D50" s="11"/>
      <x:c r="E50" s="11"/>
      <x:c r="F50" s="11"/>
      <x:c r="G50" s="11"/>
      <x:c r="H50" s="15"/>
      <x:c r="I50" s="11"/>
      <x:c r="J50" s="11"/>
      <x:c r="K50" s="11"/>
      <x:c r="L50" s="11"/>
      <x:c r="M50" s="15"/>
      <x:c r="N50" s="14"/>
      <x:c r="O50" s="11"/>
    </x:row>
    <x:row r="51" ht="60" customHeight="1">
      <x:c r="A51" s="11"/>
      <x:c r="B51" s="11"/>
      <x:c r="C51" s="11"/>
      <x:c r="D51" s="11"/>
      <x:c r="E51" s="11"/>
      <x:c r="F51" s="11"/>
      <x:c r="G51" s="11"/>
      <x:c r="H51" s="15"/>
      <x:c r="I51" s="11"/>
      <x:c r="J51" s="11"/>
      <x:c r="K51" s="11"/>
      <x:c r="L51" s="11"/>
      <x:c r="M51" s="15"/>
      <x:c r="N51" s="14"/>
      <x:c r="O51" s="11"/>
    </x:row>
    <x:row r="52" ht="60" customHeight="1">
      <x:c r="A52" s="11"/>
      <x:c r="B52" s="11"/>
      <x:c r="C52" s="11"/>
      <x:c r="D52" s="11"/>
      <x:c r="E52" s="11"/>
      <x:c r="F52" s="11"/>
      <x:c r="G52" s="11"/>
      <x:c r="H52" s="15"/>
      <x:c r="I52" s="11"/>
      <x:c r="J52" s="11"/>
      <x:c r="K52" s="11"/>
      <x:c r="L52" s="11"/>
      <x:c r="M52" s="15"/>
      <x:c r="N52" s="14"/>
      <x:c r="O52" s="11"/>
    </x:row>
    <x:row r="53" ht="60" customHeight="1">
      <x:c r="A53" s="11"/>
      <x:c r="B53" s="11"/>
      <x:c r="C53" s="11"/>
      <x:c r="D53" s="11"/>
      <x:c r="E53" s="11"/>
      <x:c r="F53" s="11"/>
      <x:c r="G53" s="11"/>
      <x:c r="H53" s="15"/>
      <x:c r="I53" s="11"/>
      <x:c r="J53" s="11"/>
      <x:c r="K53" s="11"/>
      <x:c r="L53" s="11"/>
      <x:c r="M53" s="15"/>
      <x:c r="N53" s="14"/>
      <x:c r="O53" s="11"/>
    </x:row>
    <x:row r="54" ht="60" customHeight="1">
      <x:c r="A54" s="11"/>
      <x:c r="B54" s="11"/>
      <x:c r="C54" s="11"/>
      <x:c r="D54" s="11"/>
      <x:c r="E54" s="11"/>
      <x:c r="F54" s="11"/>
      <x:c r="G54" s="11"/>
      <x:c r="H54" s="15"/>
      <x:c r="I54" s="11"/>
      <x:c r="J54" s="11"/>
      <x:c r="K54" s="11"/>
      <x:c r="L54" s="11"/>
      <x:c r="M54" s="15"/>
      <x:c r="N54" s="14"/>
      <x:c r="O54" s="11"/>
    </x:row>
    <x:row r="55" ht="60" customHeight="1">
      <x:c r="A55" s="11"/>
      <x:c r="B55" s="11"/>
      <x:c r="C55" s="11"/>
      <x:c r="D55" s="11"/>
      <x:c r="E55" s="11"/>
      <x:c r="F55" s="11"/>
      <x:c r="G55" s="11"/>
      <x:c r="H55" s="15"/>
      <x:c r="I55" s="11"/>
      <x:c r="J55" s="11"/>
      <x:c r="K55" s="11"/>
      <x:c r="L55" s="11"/>
      <x:c r="M55" s="15"/>
      <x:c r="N55" s="14"/>
      <x:c r="O55" s="11"/>
    </x:row>
    <x:row r="56" ht="60" customHeight="1">
      <x:c r="A56" s="11"/>
      <x:c r="B56" s="11"/>
      <x:c r="C56" s="11"/>
      <x:c r="D56" s="11"/>
      <x:c r="E56" s="11"/>
      <x:c r="F56" s="11"/>
      <x:c r="G56" s="11"/>
      <x:c r="H56" s="15"/>
      <x:c r="I56" s="11"/>
      <x:c r="J56" s="11"/>
      <x:c r="K56" s="11"/>
      <x:c r="L56" s="11"/>
      <x:c r="M56" s="15"/>
      <x:c r="N56" s="14"/>
      <x:c r="O56" s="11"/>
    </x:row>
    <x:row r="57" ht="60" customHeight="1">
      <x:c r="A57" s="11"/>
      <x:c r="B57" s="11"/>
      <x:c r="C57" s="11"/>
      <x:c r="D57" s="11"/>
      <x:c r="E57" s="11"/>
      <x:c r="F57" s="11"/>
      <x:c r="G57" s="11"/>
      <x:c r="H57" s="15"/>
      <x:c r="I57" s="11"/>
      <x:c r="J57" s="11"/>
      <x:c r="K57" s="11"/>
      <x:c r="L57" s="11"/>
      <x:c r="M57" s="15"/>
      <x:c r="N57" s="14"/>
      <x:c r="O57" s="11"/>
    </x:row>
    <x:row r="58" ht="60" customHeight="1">
      <x:c r="A58" s="11"/>
      <x:c r="B58" s="11"/>
      <x:c r="C58" s="11"/>
      <x:c r="D58" s="11"/>
      <x:c r="E58" s="11"/>
      <x:c r="F58" s="11"/>
      <x:c r="G58" s="11"/>
      <x:c r="H58" s="15"/>
      <x:c r="I58" s="11"/>
      <x:c r="J58" s="11"/>
      <x:c r="K58" s="11"/>
      <x:c r="L58" s="11"/>
      <x:c r="M58" s="15"/>
      <x:c r="N58" s="14"/>
      <x:c r="O58" s="11"/>
    </x:row>
    <x:row r="59" ht="60" customHeight="1">
      <x:c r="A59" s="11"/>
      <x:c r="B59" s="11"/>
      <x:c r="C59" s="11"/>
      <x:c r="D59" s="11"/>
      <x:c r="E59" s="11"/>
      <x:c r="F59" s="11"/>
      <x:c r="G59" s="11"/>
      <x:c r="H59" s="15"/>
      <x:c r="I59" s="11"/>
      <x:c r="J59" s="11"/>
      <x:c r="K59" s="11"/>
      <x:c r="L59" s="11"/>
      <x:c r="M59" s="15"/>
      <x:c r="N59" s="14"/>
      <x:c r="O59" s="11"/>
    </x:row>
    <x:row r="60" ht="60" customHeight="1">
      <x:c r="A60" s="11"/>
      <x:c r="B60" s="11"/>
      <x:c r="C60" s="11"/>
      <x:c r="D60" s="11"/>
      <x:c r="E60" s="11"/>
      <x:c r="F60" s="11"/>
      <x:c r="G60" s="11"/>
      <x:c r="H60" s="15"/>
      <x:c r="I60" s="11"/>
      <x:c r="J60" s="11"/>
      <x:c r="K60" s="11"/>
      <x:c r="L60" s="11"/>
      <x:c r="M60" s="15"/>
      <x:c r="N60" s="14"/>
      <x:c r="O60" s="11"/>
    </x:row>
    <x:row r="61" ht="60" customHeight="1">
      <x:c r="A61" s="11"/>
      <x:c r="B61" s="11"/>
      <x:c r="C61" s="11"/>
      <x:c r="D61" s="11"/>
      <x:c r="E61" s="11"/>
      <x:c r="F61" s="11"/>
      <x:c r="G61" s="11"/>
      <x:c r="H61" s="15"/>
      <x:c r="I61" s="11"/>
      <x:c r="J61" s="11"/>
      <x:c r="K61" s="11"/>
      <x:c r="L61" s="11"/>
      <x:c r="M61" s="15"/>
      <x:c r="N61" s="14"/>
      <x:c r="O61" s="11"/>
    </x:row>
    <x:row r="62" ht="60" customHeight="1">
      <x:c r="A62" s="11"/>
      <x:c r="B62" s="11"/>
      <x:c r="C62" s="11"/>
      <x:c r="D62" s="11"/>
      <x:c r="E62" s="11"/>
      <x:c r="F62" s="11"/>
      <x:c r="G62" s="11"/>
      <x:c r="H62" s="15"/>
      <x:c r="I62" s="11"/>
      <x:c r="J62" s="11"/>
      <x:c r="K62" s="11"/>
      <x:c r="L62" s="11"/>
      <x:c r="M62" s="15"/>
      <x:c r="N62" s="14"/>
      <x:c r="O62" s="11"/>
    </x:row>
    <x:row r="63" ht="60" customHeight="1">
      <x:c r="A63" s="11"/>
      <x:c r="B63" s="11"/>
      <x:c r="C63" s="11"/>
      <x:c r="D63" s="11"/>
      <x:c r="E63" s="11"/>
      <x:c r="F63" s="11"/>
      <x:c r="G63" s="11"/>
      <x:c r="H63" s="15"/>
      <x:c r="I63" s="11"/>
      <x:c r="J63" s="11"/>
      <x:c r="K63" s="11"/>
      <x:c r="L63" s="11"/>
      <x:c r="M63" s="15"/>
      <x:c r="N63" s="14"/>
      <x:c r="O63" s="11"/>
    </x:row>
    <x:row r="64" ht="60" customHeight="1">
      <x:c r="A64" s="11"/>
      <x:c r="B64" s="11"/>
      <x:c r="C64" s="11"/>
      <x:c r="D64" s="11"/>
      <x:c r="E64" s="11"/>
      <x:c r="F64" s="11"/>
      <x:c r="G64" s="11"/>
      <x:c r="H64" s="15"/>
      <x:c r="I64" s="11"/>
      <x:c r="J64" s="11"/>
      <x:c r="K64" s="11"/>
      <x:c r="L64" s="11"/>
      <x:c r="M64" s="15"/>
      <x:c r="N64" s="14"/>
      <x:c r="O64" s="11"/>
    </x:row>
    <x:row r="65" ht="60" customHeight="1">
      <x:c r="A65" s="11"/>
      <x:c r="B65" s="11"/>
      <x:c r="C65" s="11"/>
      <x:c r="D65" s="11"/>
      <x:c r="E65" s="11"/>
      <x:c r="F65" s="11"/>
      <x:c r="G65" s="11"/>
      <x:c r="H65" s="15"/>
      <x:c r="I65" s="11"/>
      <x:c r="J65" s="11"/>
      <x:c r="K65" s="11"/>
      <x:c r="L65" s="11"/>
      <x:c r="M65" s="15"/>
      <x:c r="N65" s="14"/>
      <x:c r="O65" s="11"/>
    </x:row>
    <x:row r="66" ht="60" customHeight="1">
      <x:c r="A66" s="11"/>
      <x:c r="B66" s="11"/>
      <x:c r="C66" s="11"/>
      <x:c r="D66" s="11"/>
      <x:c r="E66" s="11"/>
      <x:c r="F66" s="11"/>
      <x:c r="G66" s="11"/>
      <x:c r="H66" s="15"/>
      <x:c r="I66" s="11"/>
      <x:c r="J66" s="11"/>
      <x:c r="K66" s="11"/>
      <x:c r="L66" s="11"/>
      <x:c r="M66" s="15"/>
      <x:c r="N66" s="14"/>
      <x:c r="O66" s="11"/>
    </x:row>
    <x:row r="67" ht="60" customHeight="1">
      <x:c r="A67" s="11"/>
      <x:c r="B67" s="11"/>
      <x:c r="C67" s="11"/>
      <x:c r="D67" s="11"/>
      <x:c r="E67" s="11"/>
      <x:c r="F67" s="11"/>
      <x:c r="G67" s="11"/>
      <x:c r="H67" s="15"/>
      <x:c r="I67" s="11"/>
      <x:c r="J67" s="11"/>
      <x:c r="K67" s="11"/>
      <x:c r="L67" s="11"/>
      <x:c r="M67" s="15"/>
      <x:c r="N67" s="14"/>
      <x:c r="O67" s="11"/>
    </x:row>
    <x:row r="68" ht="60" customHeight="1">
      <x:c r="A68" s="11"/>
      <x:c r="B68" s="11"/>
      <x:c r="C68" s="11"/>
      <x:c r="D68" s="11"/>
      <x:c r="E68" s="11"/>
      <x:c r="F68" s="11"/>
      <x:c r="G68" s="11"/>
      <x:c r="H68" s="15"/>
      <x:c r="I68" s="11"/>
      <x:c r="J68" s="11"/>
      <x:c r="K68" s="11"/>
      <x:c r="L68" s="11"/>
      <x:c r="M68" s="15"/>
      <x:c r="N68" s="14"/>
      <x:c r="O68" s="11"/>
    </x:row>
    <x:row r="69" ht="60" customHeight="1">
      <x:c r="A69" s="11"/>
      <x:c r="B69" s="11"/>
      <x:c r="C69" s="11"/>
      <x:c r="D69" s="11"/>
      <x:c r="E69" s="11"/>
      <x:c r="F69" s="11"/>
      <x:c r="G69" s="11"/>
      <x:c r="H69" s="15"/>
      <x:c r="I69" s="11"/>
      <x:c r="J69" s="11"/>
      <x:c r="K69" s="11"/>
      <x:c r="L69" s="11"/>
      <x:c r="M69" s="15"/>
      <x:c r="N69" s="14"/>
      <x:c r="O69" s="11"/>
    </x:row>
    <x:row r="70" ht="60" customHeight="1">
      <x:c r="A70" s="11"/>
      <x:c r="B70" s="11"/>
      <x:c r="C70" s="11"/>
      <x:c r="D70" s="11"/>
      <x:c r="E70" s="11"/>
      <x:c r="F70" s="11"/>
      <x:c r="G70" s="11"/>
      <x:c r="H70" s="15"/>
      <x:c r="I70" s="11"/>
      <x:c r="J70" s="11"/>
      <x:c r="K70" s="11"/>
      <x:c r="L70" s="11"/>
      <x:c r="M70" s="15"/>
      <x:c r="N70" s="14"/>
      <x:c r="O70" s="11"/>
    </x:row>
    <x:row r="71" ht="60" customHeight="1">
      <x:c r="A71" s="11"/>
      <x:c r="B71" s="11"/>
      <x:c r="C71" s="11"/>
      <x:c r="D71" s="11"/>
      <x:c r="E71" s="11"/>
      <x:c r="F71" s="11"/>
      <x:c r="G71" s="11"/>
      <x:c r="H71" s="15"/>
      <x:c r="I71" s="11"/>
      <x:c r="J71" s="11"/>
      <x:c r="K71" s="11"/>
      <x:c r="L71" s="11"/>
      <x:c r="M71" s="15"/>
      <x:c r="N71" s="14"/>
      <x:c r="O71" s="11"/>
    </x:row>
    <x:row r="72" ht="60" customHeight="1">
      <x:c r="A72" s="11"/>
      <x:c r="B72" s="11"/>
      <x:c r="C72" s="11"/>
      <x:c r="D72" s="11"/>
      <x:c r="E72" s="11"/>
      <x:c r="F72" s="11"/>
      <x:c r="G72" s="11"/>
      <x:c r="H72" s="15"/>
      <x:c r="I72" s="11"/>
      <x:c r="J72" s="11"/>
      <x:c r="K72" s="11"/>
      <x:c r="L72" s="11"/>
      <x:c r="M72" s="15"/>
      <x:c r="N72" s="14"/>
      <x:c r="O72" s="11"/>
    </x:row>
    <x:row r="73" ht="60" customHeight="1">
      <x:c r="A73" s="11"/>
      <x:c r="B73" s="11"/>
      <x:c r="C73" s="11"/>
      <x:c r="D73" s="11"/>
      <x:c r="E73" s="11"/>
      <x:c r="F73" s="11"/>
      <x:c r="G73" s="11"/>
      <x:c r="H73" s="15"/>
      <x:c r="I73" s="11"/>
      <x:c r="J73" s="11"/>
      <x:c r="K73" s="11"/>
      <x:c r="L73" s="11"/>
      <x:c r="M73" s="15"/>
      <x:c r="N73" s="14"/>
      <x:c r="O73" s="11"/>
    </x:row>
    <x:row r="74" ht="60" customHeight="1">
      <x:c r="A74" s="11"/>
      <x:c r="B74" s="11"/>
      <x:c r="C74" s="11"/>
      <x:c r="D74" s="11"/>
      <x:c r="E74" s="11"/>
      <x:c r="F74" s="11"/>
      <x:c r="G74" s="11"/>
      <x:c r="H74" s="15"/>
      <x:c r="I74" s="11"/>
      <x:c r="J74" s="11"/>
      <x:c r="K74" s="11"/>
      <x:c r="L74" s="11"/>
      <x:c r="M74" s="15"/>
      <x:c r="N74" s="14"/>
      <x:c r="O74" s="11"/>
    </x:row>
    <x:row r="75" ht="60" customHeight="1">
      <x:c r="A75" s="11"/>
      <x:c r="B75" s="11"/>
      <x:c r="C75" s="11"/>
      <x:c r="D75" s="11"/>
      <x:c r="E75" s="11"/>
      <x:c r="F75" s="11"/>
      <x:c r="G75" s="11"/>
      <x:c r="H75" s="15"/>
      <x:c r="I75" s="11"/>
      <x:c r="J75" s="11"/>
      <x:c r="K75" s="11"/>
      <x:c r="L75" s="11"/>
      <x:c r="M75" s="15"/>
      <x:c r="N75" s="14"/>
      <x:c r="O75" s="11"/>
    </x:row>
    <x:row r="76" ht="60" customHeight="1">
      <x:c r="A76" s="11"/>
      <x:c r="B76" s="11"/>
      <x:c r="C76" s="11"/>
      <x:c r="D76" s="11"/>
      <x:c r="E76" s="11"/>
      <x:c r="F76" s="11"/>
      <x:c r="G76" s="11"/>
      <x:c r="H76" s="15"/>
      <x:c r="I76" s="11"/>
      <x:c r="J76" s="11"/>
      <x:c r="K76" s="11"/>
      <x:c r="L76" s="11"/>
      <x:c r="M76" s="15"/>
      <x:c r="N76" s="14"/>
      <x:c r="O76" s="11"/>
    </x:row>
    <x:row r="77" ht="60" customHeight="1">
      <x:c r="A77" s="11"/>
      <x:c r="B77" s="11"/>
      <x:c r="C77" s="11"/>
      <x:c r="D77" s="11"/>
      <x:c r="E77" s="11"/>
      <x:c r="F77" s="11"/>
      <x:c r="G77" s="11"/>
      <x:c r="H77" s="15"/>
      <x:c r="I77" s="11"/>
      <x:c r="J77" s="11"/>
      <x:c r="K77" s="11"/>
      <x:c r="L77" s="11"/>
      <x:c r="M77" s="15"/>
      <x:c r="N77" s="14"/>
      <x:c r="O77" s="11"/>
    </x:row>
    <x:row r="78" ht="60" customHeight="1">
      <x:c r="A78" s="11"/>
      <x:c r="B78" s="11"/>
      <x:c r="C78" s="11"/>
      <x:c r="D78" s="11"/>
      <x:c r="E78" s="11"/>
      <x:c r="F78" s="11"/>
      <x:c r="G78" s="11"/>
      <x:c r="H78" s="15"/>
      <x:c r="I78" s="11"/>
      <x:c r="J78" s="11"/>
      <x:c r="K78" s="11"/>
      <x:c r="L78" s="11"/>
      <x:c r="M78" s="15"/>
      <x:c r="N78" s="14"/>
      <x:c r="O78" s="11"/>
    </x:row>
    <x:row r="79" ht="60" customHeight="1">
      <x:c r="A79" s="11"/>
      <x:c r="B79" s="11"/>
      <x:c r="C79" s="11"/>
      <x:c r="D79" s="11"/>
      <x:c r="E79" s="11"/>
      <x:c r="F79" s="11"/>
      <x:c r="G79" s="11"/>
      <x:c r="H79" s="15"/>
      <x:c r="I79" s="11"/>
      <x:c r="J79" s="11"/>
      <x:c r="K79" s="11"/>
      <x:c r="L79" s="11"/>
      <x:c r="M79" s="15"/>
      <x:c r="N79" s="14"/>
      <x:c r="O79" s="11"/>
    </x:row>
    <x:row r="80" ht="60" customHeight="1">
      <x:c r="A80" s="11"/>
      <x:c r="B80" s="11"/>
      <x:c r="C80" s="11"/>
      <x:c r="D80" s="11"/>
      <x:c r="E80" s="11"/>
      <x:c r="F80" s="11"/>
      <x:c r="G80" s="11"/>
      <x:c r="H80" s="15"/>
      <x:c r="I80" s="11"/>
      <x:c r="J80" s="11"/>
      <x:c r="K80" s="11"/>
      <x:c r="L80" s="11"/>
      <x:c r="M80" s="15"/>
      <x:c r="N80" s="14"/>
      <x:c r="O80" s="11"/>
    </x:row>
    <x:row r="81" ht="60" customHeight="1">
      <x:c r="A81" s="11"/>
      <x:c r="B81" s="11"/>
      <x:c r="C81" s="11"/>
      <x:c r="D81" s="11"/>
      <x:c r="E81" s="11"/>
      <x:c r="F81" s="11"/>
      <x:c r="G81" s="11"/>
      <x:c r="H81" s="15"/>
      <x:c r="I81" s="11"/>
      <x:c r="J81" s="11"/>
      <x:c r="K81" s="11"/>
      <x:c r="L81" s="11"/>
      <x:c r="M81" s="15"/>
      <x:c r="N81" s="14"/>
      <x:c r="O81" s="11"/>
    </x:row>
    <x:row r="82" ht="60" customHeight="1">
      <x:c r="A82" s="11"/>
      <x:c r="B82" s="11"/>
      <x:c r="C82" s="11"/>
      <x:c r="D82" s="11"/>
      <x:c r="E82" s="11"/>
      <x:c r="F82" s="11"/>
      <x:c r="G82" s="11"/>
      <x:c r="H82" s="15"/>
      <x:c r="I82" s="11"/>
      <x:c r="J82" s="11"/>
      <x:c r="K82" s="11"/>
      <x:c r="L82" s="11"/>
      <x:c r="M82" s="15"/>
      <x:c r="N82" s="14"/>
      <x:c r="O82" s="11"/>
    </x:row>
    <x:row r="83" ht="60" customHeight="1">
      <x:c r="A83" s="11"/>
      <x:c r="B83" s="11"/>
      <x:c r="C83" s="11"/>
      <x:c r="D83" s="11"/>
      <x:c r="E83" s="11"/>
      <x:c r="F83" s="11"/>
      <x:c r="G83" s="11"/>
      <x:c r="H83" s="15"/>
      <x:c r="I83" s="11"/>
      <x:c r="J83" s="11"/>
      <x:c r="K83" s="11"/>
      <x:c r="L83" s="11"/>
      <x:c r="M83" s="15"/>
      <x:c r="N83" s="14"/>
      <x:c r="O83" s="11"/>
    </x:row>
    <x:row r="84" ht="60" customHeight="1">
      <x:c r="A84" s="11"/>
      <x:c r="B84" s="11"/>
      <x:c r="C84" s="11"/>
      <x:c r="D84" s="11"/>
      <x:c r="E84" s="11"/>
      <x:c r="F84" s="11"/>
      <x:c r="G84" s="11"/>
      <x:c r="H84" s="15"/>
      <x:c r="I84" s="11"/>
      <x:c r="J84" s="11"/>
      <x:c r="K84" s="11"/>
      <x:c r="L84" s="11"/>
      <x:c r="M84" s="15"/>
      <x:c r="N84" s="14"/>
      <x:c r="O84" s="11"/>
    </x:row>
    <x:row r="85" ht="60" customHeight="1">
      <x:c r="A85" s="11"/>
      <x:c r="B85" s="11"/>
      <x:c r="C85" s="11"/>
      <x:c r="D85" s="11"/>
      <x:c r="E85" s="11"/>
      <x:c r="F85" s="11"/>
      <x:c r="G85" s="11"/>
      <x:c r="H85" s="15"/>
      <x:c r="I85" s="11"/>
      <x:c r="J85" s="11"/>
      <x:c r="K85" s="11"/>
      <x:c r="L85" s="11"/>
      <x:c r="M85" s="15"/>
      <x:c r="N85" s="14"/>
      <x:c r="O85" s="11"/>
    </x:row>
    <x:row r="86" ht="60" customHeight="1">
      <x:c r="A86" s="11"/>
      <x:c r="B86" s="11"/>
      <x:c r="C86" s="11"/>
      <x:c r="D86" s="11"/>
      <x:c r="E86" s="11"/>
      <x:c r="F86" s="11"/>
      <x:c r="G86" s="11"/>
      <x:c r="H86" s="15"/>
      <x:c r="I86" s="11"/>
      <x:c r="J86" s="11"/>
      <x:c r="K86" s="11"/>
      <x:c r="L86" s="11"/>
      <x:c r="M86" s="15"/>
      <x:c r="N86" s="14"/>
      <x:c r="O86" s="11"/>
    </x:row>
    <x:row r="87" ht="60" customHeight="1">
      <x:c r="A87" s="11"/>
      <x:c r="B87" s="11"/>
      <x:c r="C87" s="11"/>
      <x:c r="D87" s="11"/>
      <x:c r="E87" s="11"/>
      <x:c r="F87" s="11"/>
      <x:c r="G87" s="11"/>
      <x:c r="H87" s="15"/>
      <x:c r="I87" s="11"/>
      <x:c r="J87" s="11"/>
      <x:c r="K87" s="11"/>
      <x:c r="L87" s="11"/>
      <x:c r="M87" s="15"/>
      <x:c r="N87" s="14"/>
      <x:c r="O87" s="11"/>
    </x:row>
    <x:row r="88" ht="60" customHeight="1">
      <x:c r="A88" s="11"/>
      <x:c r="B88" s="11"/>
      <x:c r="C88" s="11"/>
      <x:c r="D88" s="11"/>
      <x:c r="E88" s="11"/>
      <x:c r="F88" s="11"/>
      <x:c r="G88" s="11"/>
      <x:c r="H88" s="15"/>
      <x:c r="I88" s="11"/>
      <x:c r="J88" s="11"/>
      <x:c r="K88" s="11"/>
      <x:c r="L88" s="11"/>
      <x:c r="M88" s="15"/>
      <x:c r="N88" s="14"/>
      <x:c r="O88" s="11"/>
    </x:row>
    <x:row r="89" ht="60" customHeight="1">
      <x:c r="A89" s="11"/>
      <x:c r="B89" s="11"/>
      <x:c r="C89" s="11"/>
      <x:c r="D89" s="11"/>
      <x:c r="E89" s="11"/>
      <x:c r="F89" s="11"/>
      <x:c r="G89" s="11"/>
      <x:c r="H89" s="15"/>
      <x:c r="I89" s="11"/>
      <x:c r="J89" s="11"/>
      <x:c r="K89" s="11"/>
      <x:c r="L89" s="11"/>
      <x:c r="M89" s="15"/>
      <x:c r="N89" s="14"/>
      <x:c r="O89" s="11"/>
    </x:row>
    <x:row r="90" ht="60" customHeight="1">
      <x:c r="A90" s="11"/>
      <x:c r="B90" s="11"/>
      <x:c r="C90" s="11"/>
      <x:c r="D90" s="11"/>
      <x:c r="E90" s="11"/>
      <x:c r="F90" s="11"/>
      <x:c r="G90" s="11"/>
      <x:c r="H90" s="15"/>
      <x:c r="I90" s="11"/>
      <x:c r="J90" s="11"/>
      <x:c r="K90" s="11"/>
      <x:c r="L90" s="11"/>
      <x:c r="M90" s="15"/>
      <x:c r="N90" s="14"/>
      <x:c r="O90" s="11"/>
    </x:row>
    <x:row r="91" ht="60" customHeight="1">
      <x:c r="A91" s="11"/>
      <x:c r="B91" s="11"/>
      <x:c r="C91" s="11"/>
      <x:c r="D91" s="11"/>
      <x:c r="E91" s="11"/>
      <x:c r="F91" s="11"/>
      <x:c r="G91" s="11"/>
      <x:c r="H91" s="15"/>
      <x:c r="I91" s="11"/>
      <x:c r="J91" s="11"/>
      <x:c r="K91" s="11"/>
      <x:c r="L91" s="11"/>
      <x:c r="M91" s="15"/>
      <x:c r="N91" s="14"/>
      <x:c r="O91" s="11"/>
    </x:row>
    <x:row r="92" ht="60" customHeight="1">
      <x:c r="A92" s="11"/>
      <x:c r="B92" s="11"/>
      <x:c r="C92" s="11"/>
      <x:c r="D92" s="11"/>
      <x:c r="E92" s="11"/>
      <x:c r="F92" s="11"/>
      <x:c r="G92" s="11"/>
      <x:c r="H92" s="15"/>
      <x:c r="I92" s="11"/>
      <x:c r="J92" s="11"/>
      <x:c r="K92" s="11"/>
      <x:c r="L92" s="11"/>
      <x:c r="M92" s="15"/>
      <x:c r="N92" s="14"/>
      <x:c r="O92" s="11"/>
    </x:row>
    <x:row r="93" ht="60" customHeight="1">
      <x:c r="A93" s="11"/>
      <x:c r="B93" s="11"/>
      <x:c r="C93" s="11"/>
      <x:c r="D93" s="11"/>
      <x:c r="E93" s="11"/>
      <x:c r="F93" s="11"/>
      <x:c r="G93" s="11"/>
      <x:c r="H93" s="15"/>
      <x:c r="I93" s="11"/>
      <x:c r="J93" s="11"/>
      <x:c r="K93" s="11"/>
      <x:c r="L93" s="11"/>
      <x:c r="M93" s="15"/>
      <x:c r="N93" s="14"/>
      <x:c r="O93" s="11"/>
    </x:row>
    <x:row r="94" ht="60" customHeight="1">
      <x:c r="A94" s="11"/>
      <x:c r="B94" s="11"/>
      <x:c r="C94" s="11"/>
      <x:c r="D94" s="11"/>
      <x:c r="E94" s="11"/>
      <x:c r="F94" s="11"/>
      <x:c r="G94" s="11"/>
      <x:c r="H94" s="15"/>
      <x:c r="I94" s="11"/>
      <x:c r="J94" s="11"/>
      <x:c r="K94" s="11"/>
      <x:c r="L94" s="11"/>
      <x:c r="M94" s="15"/>
      <x:c r="N94" s="14"/>
      <x:c r="O94" s="11"/>
    </x:row>
    <x:row r="95" ht="60" customHeight="1">
      <x:c r="A95" s="11"/>
      <x:c r="B95" s="11"/>
      <x:c r="C95" s="11"/>
      <x:c r="D95" s="11"/>
      <x:c r="E95" s="11"/>
      <x:c r="F95" s="11"/>
      <x:c r="G95" s="11"/>
      <x:c r="H95" s="15"/>
      <x:c r="I95" s="11"/>
      <x:c r="J95" s="11"/>
      <x:c r="K95" s="11"/>
      <x:c r="L95" s="11"/>
      <x:c r="M95" s="15"/>
      <x:c r="N95" s="14"/>
      <x:c r="O95" s="11"/>
    </x:row>
    <x:row r="96" ht="60" customHeight="1">
      <x:c r="A96" s="11"/>
      <x:c r="B96" s="11"/>
      <x:c r="C96" s="11"/>
      <x:c r="D96" s="11"/>
      <x:c r="E96" s="11"/>
      <x:c r="F96" s="11"/>
      <x:c r="G96" s="11"/>
      <x:c r="H96" s="15"/>
      <x:c r="I96" s="11"/>
      <x:c r="J96" s="11"/>
      <x:c r="K96" s="11"/>
      <x:c r="L96" s="11"/>
      <x:c r="M96" s="15"/>
      <x:c r="N96" s="14"/>
      <x:c r="O96" s="11"/>
    </x:row>
    <x:row r="97" ht="60" customHeight="1">
      <x:c r="A97" s="11"/>
      <x:c r="B97" s="11"/>
      <x:c r="C97" s="11"/>
      <x:c r="D97" s="11"/>
      <x:c r="E97" s="11"/>
      <x:c r="F97" s="11"/>
      <x:c r="G97" s="11"/>
      <x:c r="H97" s="15"/>
      <x:c r="I97" s="11"/>
      <x:c r="J97" s="11"/>
      <x:c r="K97" s="11"/>
      <x:c r="L97" s="11"/>
      <x:c r="M97" s="15"/>
      <x:c r="N97" s="14"/>
      <x:c r="O97" s="11"/>
    </x:row>
    <x:row r="98" ht="60" customHeight="1">
      <x:c r="A98" s="11"/>
      <x:c r="B98" s="11"/>
      <x:c r="C98" s="11"/>
      <x:c r="D98" s="11"/>
      <x:c r="E98" s="11"/>
      <x:c r="F98" s="11"/>
      <x:c r="G98" s="11"/>
      <x:c r="H98" s="15"/>
      <x:c r="I98" s="11"/>
      <x:c r="J98" s="11"/>
      <x:c r="K98" s="11"/>
      <x:c r="L98" s="11"/>
      <x:c r="M98" s="15"/>
      <x:c r="N98" s="14"/>
      <x:c r="O98" s="11"/>
    </x:row>
    <x:row r="99" ht="60" customHeight="1">
      <x:c r="A99" s="11"/>
      <x:c r="B99" s="11"/>
      <x:c r="C99" s="11"/>
      <x:c r="D99" s="11"/>
      <x:c r="E99" s="11"/>
      <x:c r="F99" s="11"/>
      <x:c r="G99" s="11"/>
      <x:c r="H99" s="15"/>
      <x:c r="I99" s="11"/>
      <x:c r="J99" s="11"/>
      <x:c r="K99" s="11"/>
      <x:c r="L99" s="11"/>
      <x:c r="M99" s="15"/>
      <x:c r="N99" s="14"/>
      <x:c r="O99" s="11"/>
    </x:row>
    <x:row r="100" ht="60" customHeight="1">
      <x:c r="A100" s="11"/>
      <x:c r="B100" s="11"/>
      <x:c r="C100" s="11"/>
      <x:c r="D100" s="11"/>
      <x:c r="E100" s="11"/>
      <x:c r="F100" s="11"/>
      <x:c r="G100" s="11"/>
      <x:c r="H100" s="15"/>
      <x:c r="I100" s="11"/>
      <x:c r="J100" s="11"/>
      <x:c r="K100" s="11"/>
      <x:c r="L100" s="11"/>
      <x:c r="M100" s="15"/>
      <x:c r="N100" s="14"/>
      <x:c r="O100" s="11"/>
    </x:row>
    <x:row r="101" ht="60" customHeight="1">
      <x:c r="A101" s="11"/>
      <x:c r="B101" s="11"/>
      <x:c r="C101" s="11"/>
      <x:c r="D101" s="11"/>
      <x:c r="E101" s="11"/>
      <x:c r="F101" s="11"/>
      <x:c r="G101" s="11"/>
      <x:c r="H101" s="15"/>
      <x:c r="I101" s="11"/>
      <x:c r="J101" s="11"/>
      <x:c r="K101" s="11"/>
      <x:c r="L101" s="11"/>
      <x:c r="M101" s="15"/>
      <x:c r="N101" s="14"/>
      <x:c r="O101" s="11"/>
    </x:row>
    <x:row r="102" ht="60" customHeight="1">
      <x:c r="A102" s="11"/>
      <x:c r="B102" s="11"/>
      <x:c r="C102" s="11"/>
      <x:c r="D102" s="11"/>
      <x:c r="E102" s="11"/>
      <x:c r="F102" s="11"/>
      <x:c r="G102" s="11"/>
      <x:c r="H102" s="15"/>
      <x:c r="I102" s="11"/>
      <x:c r="J102" s="11"/>
      <x:c r="K102" s="11"/>
      <x:c r="L102" s="11"/>
      <x:c r="M102" s="15"/>
      <x:c r="N102" s="14"/>
      <x:c r="O102" s="11"/>
    </x:row>
    <x:row r="103" ht="60" customHeight="1">
      <x:c r="A103" s="11"/>
      <x:c r="B103" s="11"/>
      <x:c r="C103" s="11"/>
      <x:c r="D103" s="11"/>
      <x:c r="E103" s="11"/>
      <x:c r="F103" s="11"/>
      <x:c r="G103" s="11"/>
      <x:c r="H103" s="15"/>
      <x:c r="I103" s="11"/>
      <x:c r="J103" s="11"/>
      <x:c r="K103" s="11"/>
      <x:c r="L103" s="11"/>
      <x:c r="M103" s="15"/>
      <x:c r="N103" s="14"/>
      <x:c r="O103" s="11"/>
    </x:row>
    <x:row r="104" ht="60" customHeight="1">
      <x:c r="A104" s="11"/>
      <x:c r="B104" s="11"/>
      <x:c r="C104" s="11"/>
      <x:c r="D104" s="11"/>
      <x:c r="E104" s="11"/>
      <x:c r="F104" s="11"/>
      <x:c r="G104" s="11"/>
      <x:c r="H104" s="15"/>
      <x:c r="I104" s="11"/>
      <x:c r="J104" s="11"/>
      <x:c r="K104" s="11"/>
      <x:c r="L104" s="11"/>
      <x:c r="M104" s="15"/>
      <x:c r="N104" s="14"/>
      <x:c r="O104" s="11"/>
    </x:row>
    <x:row r="105" ht="60" customHeight="1">
      <x:c r="A105" s="11"/>
      <x:c r="B105" s="11"/>
      <x:c r="C105" s="11"/>
      <x:c r="D105" s="11"/>
      <x:c r="E105" s="11"/>
      <x:c r="F105" s="11"/>
      <x:c r="G105" s="11"/>
      <x:c r="H105" s="15"/>
      <x:c r="I105" s="11"/>
      <x:c r="J105" s="11"/>
      <x:c r="K105" s="11"/>
      <x:c r="L105" s="11"/>
      <x:c r="M105" s="15"/>
      <x:c r="N105" s="14"/>
      <x:c r="O105" s="11"/>
    </x:row>
    <x:row r="106" ht="60" customHeight="1">
      <x:c r="A106" s="11"/>
      <x:c r="B106" s="11"/>
      <x:c r="C106" s="11"/>
      <x:c r="D106" s="11"/>
      <x:c r="E106" s="11"/>
      <x:c r="F106" s="11"/>
      <x:c r="G106" s="11"/>
      <x:c r="H106" s="15"/>
      <x:c r="I106" s="11"/>
      <x:c r="J106" s="11"/>
      <x:c r="K106" s="11"/>
      <x:c r="L106" s="11"/>
      <x:c r="M106" s="15"/>
      <x:c r="N106" s="14"/>
      <x:c r="O106" s="11"/>
    </x:row>
    <x:row r="107" ht="60" customHeight="1">
      <x:c r="A107" s="11"/>
      <x:c r="B107" s="11"/>
      <x:c r="C107" s="11"/>
      <x:c r="D107" s="11"/>
      <x:c r="E107" s="11"/>
      <x:c r="F107" s="11"/>
      <x:c r="G107" s="11"/>
      <x:c r="H107" s="15"/>
      <x:c r="I107" s="11"/>
      <x:c r="J107" s="11"/>
      <x:c r="K107" s="11"/>
      <x:c r="L107" s="11"/>
      <x:c r="M107" s="15"/>
      <x:c r="N107" s="14"/>
      <x:c r="O107" s="11"/>
    </x:row>
    <x:row r="108" ht="60" customHeight="1">
      <x:c r="A108" s="11"/>
      <x:c r="B108" s="11"/>
      <x:c r="C108" s="11"/>
      <x:c r="D108" s="11"/>
      <x:c r="E108" s="11"/>
      <x:c r="F108" s="11"/>
      <x:c r="G108" s="11"/>
      <x:c r="H108" s="15"/>
      <x:c r="I108" s="11"/>
      <x:c r="J108" s="11"/>
      <x:c r="K108" s="11"/>
      <x:c r="L108" s="11"/>
      <x:c r="M108" s="15"/>
      <x:c r="N108" s="14"/>
      <x:c r="O108" s="11"/>
    </x:row>
    <x:row r="109" ht="60" customHeight="1">
      <x:c r="A109" s="11"/>
      <x:c r="B109" s="11"/>
      <x:c r="C109" s="11"/>
      <x:c r="D109" s="11"/>
      <x:c r="E109" s="11"/>
      <x:c r="F109" s="11"/>
      <x:c r="G109" s="11"/>
      <x:c r="H109" s="15"/>
      <x:c r="I109" s="11"/>
      <x:c r="J109" s="11"/>
      <x:c r="K109" s="11"/>
      <x:c r="L109" s="11"/>
      <x:c r="M109" s="15"/>
      <x:c r="N109" s="14"/>
      <x:c r="O109" s="11"/>
    </x:row>
    <x:row r="110" ht="60" customHeight="1">
      <x:c r="A110" s="11"/>
      <x:c r="B110" s="11"/>
      <x:c r="C110" s="11"/>
      <x:c r="D110" s="11"/>
      <x:c r="E110" s="11"/>
      <x:c r="F110" s="11"/>
      <x:c r="G110" s="11"/>
      <x:c r="H110" s="15"/>
      <x:c r="I110" s="11"/>
      <x:c r="J110" s="11"/>
      <x:c r="K110" s="11"/>
      <x:c r="L110" s="11"/>
      <x:c r="M110" s="15"/>
      <x:c r="N110" s="14"/>
      <x:c r="O110" s="11"/>
    </x:row>
    <x:row r="111" ht="60" customHeight="1">
      <x:c r="A111" s="11"/>
      <x:c r="B111" s="11"/>
      <x:c r="C111" s="11"/>
      <x:c r="D111" s="11"/>
      <x:c r="E111" s="11"/>
      <x:c r="F111" s="11"/>
      <x:c r="G111" s="11"/>
      <x:c r="H111" s="15"/>
      <x:c r="I111" s="11"/>
      <x:c r="J111" s="11"/>
      <x:c r="K111" s="11"/>
      <x:c r="L111" s="11"/>
      <x:c r="M111" s="15"/>
      <x:c r="N111" s="14"/>
      <x:c r="O111" s="11"/>
    </x:row>
    <x:row r="112" ht="60" customHeight="1">
      <x:c r="A112" s="11"/>
      <x:c r="B112" s="11"/>
      <x:c r="C112" s="11"/>
      <x:c r="D112" s="11"/>
      <x:c r="E112" s="11"/>
      <x:c r="F112" s="11"/>
      <x:c r="G112" s="11"/>
      <x:c r="H112" s="15"/>
      <x:c r="I112" s="11"/>
      <x:c r="J112" s="11"/>
      <x:c r="K112" s="11"/>
      <x:c r="L112" s="11"/>
      <x:c r="M112" s="15"/>
      <x:c r="N112" s="14"/>
      <x:c r="O112" s="11"/>
    </x:row>
    <x:row r="113" ht="60" customHeight="1">
      <x:c r="A113" s="11"/>
      <x:c r="B113" s="11"/>
      <x:c r="C113" s="11"/>
      <x:c r="D113" s="11"/>
      <x:c r="E113" s="11"/>
      <x:c r="F113" s="11"/>
      <x:c r="G113" s="11"/>
      <x:c r="H113" s="15"/>
      <x:c r="I113" s="11"/>
      <x:c r="J113" s="11"/>
      <x:c r="K113" s="11"/>
      <x:c r="L113" s="11"/>
      <x:c r="M113" s="15"/>
      <x:c r="N113" s="14"/>
      <x:c r="O113" s="11"/>
    </x:row>
    <x:row r="114" ht="60" customHeight="1">
      <x:c r="A114" s="11"/>
      <x:c r="B114" s="11"/>
      <x:c r="C114" s="11"/>
      <x:c r="D114" s="11"/>
      <x:c r="E114" s="11"/>
      <x:c r="F114" s="11"/>
      <x:c r="G114" s="11"/>
      <x:c r="H114" s="15"/>
      <x:c r="I114" s="11"/>
      <x:c r="J114" s="11"/>
      <x:c r="K114" s="11"/>
      <x:c r="L114" s="11"/>
      <x:c r="M114" s="15"/>
      <x:c r="N114" s="14"/>
      <x:c r="O114" s="11"/>
    </x:row>
    <x:row r="115" ht="60" customHeight="1">
      <x:c r="A115" s="11"/>
      <x:c r="B115" s="11"/>
      <x:c r="C115" s="11"/>
      <x:c r="D115" s="11"/>
      <x:c r="E115" s="11"/>
      <x:c r="F115" s="11"/>
      <x:c r="G115" s="11"/>
      <x:c r="H115" s="15"/>
      <x:c r="I115" s="11"/>
      <x:c r="J115" s="11"/>
      <x:c r="K115" s="11"/>
      <x:c r="L115" s="11"/>
      <x:c r="M115" s="15"/>
      <x:c r="N115" s="14"/>
      <x:c r="O115" s="11"/>
    </x:row>
    <x:row r="116" ht="60" customHeight="1">
      <x:c r="A116" s="11"/>
      <x:c r="B116" s="11"/>
      <x:c r="C116" s="11"/>
      <x:c r="D116" s="11"/>
      <x:c r="E116" s="11"/>
      <x:c r="F116" s="11"/>
      <x:c r="G116" s="11"/>
      <x:c r="H116" s="15"/>
      <x:c r="I116" s="11"/>
      <x:c r="J116" s="11"/>
      <x:c r="K116" s="11"/>
      <x:c r="L116" s="11"/>
      <x:c r="M116" s="15"/>
      <x:c r="N116" s="14"/>
      <x:c r="O116" s="11"/>
    </x:row>
    <x:row r="117" ht="60" customHeight="1">
      <x:c r="A117" s="11"/>
      <x:c r="B117" s="11"/>
      <x:c r="C117" s="11"/>
      <x:c r="D117" s="11"/>
      <x:c r="E117" s="11"/>
      <x:c r="F117" s="11"/>
      <x:c r="G117" s="11"/>
      <x:c r="H117" s="15"/>
      <x:c r="I117" s="11"/>
      <x:c r="J117" s="11"/>
      <x:c r="K117" s="11"/>
      <x:c r="L117" s="11"/>
      <x:c r="M117" s="15"/>
      <x:c r="N117" s="14"/>
      <x:c r="O117" s="11"/>
    </x:row>
    <x:row r="118" ht="60" customHeight="1">
      <x:c r="A118" s="11"/>
      <x:c r="B118" s="11"/>
      <x:c r="C118" s="11"/>
      <x:c r="D118" s="11"/>
      <x:c r="E118" s="11"/>
      <x:c r="F118" s="11"/>
      <x:c r="G118" s="11"/>
      <x:c r="H118" s="15"/>
      <x:c r="I118" s="11"/>
      <x:c r="J118" s="11"/>
      <x:c r="K118" s="11"/>
      <x:c r="L118" s="11"/>
      <x:c r="M118" s="15"/>
      <x:c r="N118" s="14"/>
      <x:c r="O118" s="11"/>
    </x:row>
    <x:row r="119" ht="60" customHeight="1">
      <x:c r="A119" s="11"/>
      <x:c r="B119" s="11"/>
      <x:c r="C119" s="11"/>
      <x:c r="D119" s="11"/>
      <x:c r="E119" s="11"/>
      <x:c r="F119" s="11"/>
      <x:c r="G119" s="11"/>
      <x:c r="H119" s="15"/>
      <x:c r="I119" s="11"/>
      <x:c r="J119" s="11"/>
      <x:c r="K119" s="11"/>
      <x:c r="L119" s="11"/>
      <x:c r="M119" s="15"/>
      <x:c r="N119" s="14"/>
      <x:c r="O119" s="11"/>
    </x:row>
    <x:row r="120" ht="60" customHeight="1">
      <x:c r="A120" s="11"/>
      <x:c r="B120" s="11"/>
      <x:c r="C120" s="11"/>
      <x:c r="D120" s="11"/>
      <x:c r="E120" s="11"/>
      <x:c r="F120" s="11"/>
      <x:c r="G120" s="11"/>
      <x:c r="H120" s="15"/>
      <x:c r="I120" s="11"/>
      <x:c r="J120" s="11"/>
      <x:c r="K120" s="11"/>
      <x:c r="L120" s="11"/>
      <x:c r="M120" s="15"/>
      <x:c r="N120" s="14"/>
      <x:c r="O120" s="11"/>
    </x:row>
    <x:row r="121" ht="60" customHeight="1">
      <x:c r="A121" s="11"/>
      <x:c r="B121" s="11"/>
      <x:c r="C121" s="11"/>
      <x:c r="D121" s="11"/>
      <x:c r="E121" s="11"/>
      <x:c r="F121" s="11"/>
      <x:c r="G121" s="11"/>
      <x:c r="H121" s="15"/>
      <x:c r="I121" s="11"/>
      <x:c r="J121" s="11"/>
      <x:c r="K121" s="11"/>
      <x:c r="L121" s="11"/>
      <x:c r="M121" s="15"/>
      <x:c r="N121" s="14"/>
      <x:c r="O121" s="11"/>
    </x:row>
    <x:row r="122" ht="60" customHeight="1">
      <x:c r="A122" s="11"/>
      <x:c r="B122" s="11"/>
      <x:c r="C122" s="11"/>
      <x:c r="D122" s="11"/>
      <x:c r="E122" s="11"/>
      <x:c r="F122" s="11"/>
      <x:c r="G122" s="11"/>
      <x:c r="H122" s="15"/>
      <x:c r="I122" s="11"/>
      <x:c r="J122" s="11"/>
      <x:c r="K122" s="11"/>
      <x:c r="L122" s="11"/>
      <x:c r="M122" s="15"/>
      <x:c r="N122" s="14"/>
      <x:c r="O122" s="11"/>
    </x:row>
    <x:row r="123" ht="60" customHeight="1">
      <x:c r="A123" s="11"/>
      <x:c r="B123" s="11"/>
      <x:c r="C123" s="11"/>
      <x:c r="D123" s="11"/>
      <x:c r="E123" s="11"/>
      <x:c r="F123" s="11"/>
      <x:c r="G123" s="11"/>
      <x:c r="H123" s="15"/>
      <x:c r="I123" s="11"/>
      <x:c r="J123" s="11"/>
      <x:c r="K123" s="11"/>
      <x:c r="L123" s="11"/>
      <x:c r="M123" s="15"/>
      <x:c r="N123" s="14"/>
      <x:c r="O123" s="11"/>
    </x:row>
    <x:row r="124" ht="60" customHeight="1">
      <x:c r="A124" s="11"/>
      <x:c r="B124" s="11"/>
      <x:c r="C124" s="11"/>
      <x:c r="D124" s="11"/>
      <x:c r="E124" s="11"/>
      <x:c r="F124" s="11"/>
      <x:c r="G124" s="11"/>
      <x:c r="H124" s="15"/>
      <x:c r="I124" s="11"/>
      <x:c r="J124" s="11"/>
      <x:c r="K124" s="11"/>
      <x:c r="L124" s="11"/>
      <x:c r="M124" s="15"/>
      <x:c r="N124" s="14"/>
      <x:c r="O124" s="11"/>
    </x:row>
    <x:row r="125" ht="60" customHeight="1">
      <x:c r="A125" s="11"/>
      <x:c r="B125" s="11"/>
      <x:c r="C125" s="11"/>
      <x:c r="D125" s="11"/>
      <x:c r="E125" s="11"/>
      <x:c r="F125" s="11"/>
      <x:c r="G125" s="11"/>
      <x:c r="H125" s="15"/>
      <x:c r="I125" s="11"/>
      <x:c r="J125" s="11"/>
      <x:c r="K125" s="11"/>
      <x:c r="L125" s="11"/>
      <x:c r="M125" s="15"/>
      <x:c r="N125" s="14"/>
      <x:c r="O125" s="11"/>
    </x:row>
    <x:row r="126" ht="60" customHeight="1">
      <x:c r="A126" s="11"/>
      <x:c r="B126" s="11"/>
      <x:c r="C126" s="11"/>
      <x:c r="D126" s="11"/>
      <x:c r="E126" s="11"/>
      <x:c r="F126" s="11"/>
      <x:c r="G126" s="11"/>
      <x:c r="H126" s="15"/>
      <x:c r="I126" s="11"/>
      <x:c r="J126" s="11"/>
      <x:c r="K126" s="11"/>
      <x:c r="L126" s="11"/>
      <x:c r="M126" s="15"/>
      <x:c r="N126" s="14"/>
      <x:c r="O126" s="11"/>
    </x:row>
    <x:row r="127" ht="60" customHeight="1">
      <x:c r="A127" s="11"/>
      <x:c r="B127" s="11"/>
      <x:c r="C127" s="11"/>
      <x:c r="D127" s="11"/>
      <x:c r="E127" s="11"/>
      <x:c r="F127" s="11"/>
      <x:c r="G127" s="11"/>
      <x:c r="H127" s="15"/>
      <x:c r="I127" s="11"/>
      <x:c r="J127" s="11"/>
      <x:c r="K127" s="11"/>
      <x:c r="L127" s="11"/>
      <x:c r="M127" s="15"/>
      <x:c r="N127" s="14"/>
      <x:c r="O127" s="11"/>
    </x:row>
    <x:row r="128" ht="60" customHeight="1">
      <x:c r="A128" s="11"/>
      <x:c r="B128" s="11"/>
      <x:c r="C128" s="11"/>
      <x:c r="D128" s="11"/>
      <x:c r="E128" s="11"/>
      <x:c r="F128" s="11"/>
      <x:c r="G128" s="11"/>
      <x:c r="H128" s="15"/>
      <x:c r="I128" s="11"/>
      <x:c r="J128" s="11"/>
      <x:c r="K128" s="11"/>
      <x:c r="L128" s="11"/>
      <x:c r="M128" s="15"/>
      <x:c r="N128" s="14"/>
      <x:c r="O128" s="11"/>
    </x:row>
    <x:row r="129" ht="60" customHeight="1">
      <x:c r="A129" s="11"/>
      <x:c r="B129" s="11"/>
      <x:c r="C129" s="11"/>
      <x:c r="D129" s="11"/>
      <x:c r="E129" s="11"/>
      <x:c r="F129" s="11"/>
      <x:c r="G129" s="11"/>
      <x:c r="H129" s="15"/>
      <x:c r="I129" s="11"/>
      <x:c r="J129" s="11"/>
      <x:c r="K129" s="11"/>
      <x:c r="L129" s="11"/>
      <x:c r="M129" s="15"/>
      <x:c r="N129" s="14"/>
      <x:c r="O129" s="11"/>
    </x:row>
    <x:row r="130" ht="60" customHeight="1">
      <x:c r="A130" s="11"/>
      <x:c r="B130" s="11"/>
      <x:c r="C130" s="11"/>
      <x:c r="D130" s="11"/>
      <x:c r="E130" s="11"/>
      <x:c r="F130" s="11"/>
      <x:c r="G130" s="11"/>
      <x:c r="H130" s="15"/>
      <x:c r="I130" s="11"/>
      <x:c r="J130" s="11"/>
      <x:c r="K130" s="11"/>
      <x:c r="L130" s="11"/>
      <x:c r="M130" s="15"/>
      <x:c r="N130" s="14"/>
      <x:c r="O130" s="11"/>
    </x:row>
    <x:row r="131" ht="60" customHeight="1">
      <x:c r="A131" s="11"/>
      <x:c r="B131" s="11"/>
      <x:c r="C131" s="11"/>
      <x:c r="D131" s="11"/>
      <x:c r="E131" s="11"/>
      <x:c r="F131" s="11"/>
      <x:c r="G131" s="11"/>
      <x:c r="H131" s="15"/>
      <x:c r="I131" s="11"/>
      <x:c r="J131" s="11"/>
      <x:c r="K131" s="11"/>
      <x:c r="L131" s="11"/>
      <x:c r="M131" s="15"/>
      <x:c r="N131" s="14"/>
      <x:c r="O131" s="11"/>
    </x:row>
    <x:row r="132" ht="60" customHeight="1">
      <x:c r="A132" s="11"/>
      <x:c r="B132" s="11"/>
      <x:c r="C132" s="11"/>
      <x:c r="D132" s="11"/>
      <x:c r="E132" s="11"/>
      <x:c r="F132" s="11"/>
      <x:c r="G132" s="11"/>
      <x:c r="H132" s="15"/>
      <x:c r="I132" s="11"/>
      <x:c r="J132" s="11"/>
      <x:c r="K132" s="11"/>
      <x:c r="L132" s="11"/>
      <x:c r="M132" s="15"/>
      <x:c r="N132" s="14"/>
      <x:c r="O132" s="11"/>
    </x:row>
    <x:row r="133" ht="60" customHeight="1">
      <x:c r="A133" s="11"/>
      <x:c r="B133" s="11"/>
      <x:c r="C133" s="11"/>
      <x:c r="D133" s="11"/>
      <x:c r="E133" s="11"/>
      <x:c r="F133" s="11"/>
      <x:c r="G133" s="11"/>
      <x:c r="H133" s="15"/>
      <x:c r="I133" s="11"/>
      <x:c r="J133" s="11"/>
      <x:c r="K133" s="11"/>
      <x:c r="L133" s="11"/>
      <x:c r="M133" s="15"/>
      <x:c r="N133" s="14"/>
      <x:c r="O133" s="11"/>
    </x:row>
    <x:row r="134" ht="60" customHeight="1">
      <x:c r="A134" s="11"/>
      <x:c r="B134" s="11"/>
      <x:c r="C134" s="11"/>
      <x:c r="D134" s="11"/>
      <x:c r="E134" s="11"/>
      <x:c r="F134" s="11"/>
      <x:c r="G134" s="11"/>
      <x:c r="H134" s="15"/>
      <x:c r="I134" s="11"/>
      <x:c r="J134" s="11"/>
      <x:c r="K134" s="11"/>
      <x:c r="L134" s="11"/>
      <x:c r="M134" s="15"/>
      <x:c r="N134" s="14"/>
      <x:c r="O134" s="11"/>
    </x:row>
    <x:row r="135" ht="60" customHeight="1">
      <x:c r="A135" s="11"/>
      <x:c r="B135" s="11"/>
      <x:c r="C135" s="11"/>
      <x:c r="D135" s="11"/>
      <x:c r="E135" s="11"/>
      <x:c r="F135" s="11"/>
      <x:c r="G135" s="11"/>
      <x:c r="H135" s="15"/>
      <x:c r="I135" s="11"/>
      <x:c r="J135" s="11"/>
      <x:c r="K135" s="11"/>
      <x:c r="L135" s="11"/>
      <x:c r="M135" s="15"/>
      <x:c r="N135" s="14"/>
      <x:c r="O135" s="11"/>
    </x:row>
    <x:row r="136" ht="60" customHeight="1">
      <x:c r="A136" s="11"/>
      <x:c r="B136" s="11"/>
      <x:c r="C136" s="11"/>
      <x:c r="D136" s="11"/>
      <x:c r="E136" s="11"/>
      <x:c r="F136" s="11"/>
      <x:c r="G136" s="11"/>
      <x:c r="H136" s="15"/>
      <x:c r="I136" s="11"/>
      <x:c r="J136" s="11"/>
      <x:c r="K136" s="11"/>
      <x:c r="L136" s="11"/>
      <x:c r="M136" s="15"/>
      <x:c r="N136" s="14"/>
      <x:c r="O136" s="11"/>
    </x:row>
    <x:row r="137" ht="60" customHeight="1">
      <x:c r="A137" s="11"/>
      <x:c r="B137" s="11"/>
      <x:c r="C137" s="11"/>
      <x:c r="D137" s="11"/>
      <x:c r="E137" s="11"/>
      <x:c r="F137" s="11"/>
      <x:c r="G137" s="11"/>
      <x:c r="H137" s="15"/>
      <x:c r="I137" s="11"/>
      <x:c r="J137" s="11"/>
      <x:c r="K137" s="11"/>
      <x:c r="L137" s="11"/>
      <x:c r="M137" s="15"/>
      <x:c r="N137" s="14"/>
      <x:c r="O137" s="11"/>
    </x:row>
    <x:row r="138" ht="60" customHeight="1">
      <x:c r="A138" s="11"/>
      <x:c r="B138" s="11"/>
      <x:c r="C138" s="11"/>
      <x:c r="D138" s="11"/>
      <x:c r="E138" s="11"/>
      <x:c r="F138" s="11"/>
      <x:c r="G138" s="11"/>
      <x:c r="H138" s="15"/>
      <x:c r="I138" s="11"/>
      <x:c r="J138" s="11"/>
      <x:c r="K138" s="11"/>
      <x:c r="L138" s="11"/>
      <x:c r="M138" s="15"/>
      <x:c r="N138" s="14"/>
      <x:c r="O138" s="11"/>
    </x:row>
    <x:row r="139" ht="60" customHeight="1">
      <x:c r="A139" s="11"/>
      <x:c r="B139" s="11"/>
      <x:c r="C139" s="11"/>
      <x:c r="D139" s="11"/>
      <x:c r="E139" s="11"/>
      <x:c r="F139" s="11"/>
      <x:c r="G139" s="11"/>
      <x:c r="H139" s="15"/>
      <x:c r="I139" s="11"/>
      <x:c r="J139" s="11"/>
      <x:c r="K139" s="11"/>
      <x:c r="L139" s="11"/>
      <x:c r="M139" s="15"/>
      <x:c r="N139" s="14"/>
      <x:c r="O139" s="11"/>
    </x:row>
    <x:row r="140" ht="60" customHeight="1">
      <x:c r="A140" s="11"/>
      <x:c r="B140" s="11"/>
      <x:c r="C140" s="11"/>
      <x:c r="D140" s="11"/>
      <x:c r="E140" s="11"/>
      <x:c r="F140" s="11"/>
      <x:c r="G140" s="11"/>
      <x:c r="H140" s="15"/>
      <x:c r="I140" s="11"/>
      <x:c r="J140" s="11"/>
      <x:c r="K140" s="11"/>
      <x:c r="L140" s="11"/>
      <x:c r="M140" s="15"/>
      <x:c r="N140" s="14"/>
      <x:c r="O140" s="11"/>
    </x:row>
    <x:row r="141" ht="60" customHeight="1">
      <x:c r="A141" s="11"/>
      <x:c r="B141" s="11"/>
      <x:c r="C141" s="11"/>
      <x:c r="D141" s="11"/>
      <x:c r="E141" s="11"/>
      <x:c r="F141" s="11"/>
      <x:c r="G141" s="11"/>
      <x:c r="H141" s="15"/>
      <x:c r="I141" s="11"/>
      <x:c r="J141" s="11"/>
      <x:c r="K141" s="11"/>
      <x:c r="L141" s="11"/>
      <x:c r="M141" s="15"/>
      <x:c r="N141" s="14"/>
      <x:c r="O141" s="11"/>
    </x:row>
    <x:row r="142" ht="60" customHeight="1">
      <x:c r="A142" s="11"/>
      <x:c r="B142" s="11"/>
      <x:c r="C142" s="11"/>
      <x:c r="D142" s="11"/>
      <x:c r="E142" s="11"/>
      <x:c r="F142" s="11"/>
      <x:c r="G142" s="11"/>
      <x:c r="H142" s="15"/>
      <x:c r="I142" s="11"/>
      <x:c r="J142" s="11"/>
      <x:c r="K142" s="11"/>
      <x:c r="L142" s="11"/>
      <x:c r="M142" s="15"/>
      <x:c r="N142" s="14"/>
      <x:c r="O142" s="11"/>
    </x:row>
    <x:row r="143" ht="60" customHeight="1">
      <x:c r="A143" s="11"/>
      <x:c r="B143" s="11"/>
      <x:c r="C143" s="11"/>
      <x:c r="D143" s="11"/>
      <x:c r="E143" s="11"/>
      <x:c r="F143" s="11"/>
      <x:c r="G143" s="11"/>
      <x:c r="H143" s="15"/>
      <x:c r="I143" s="11"/>
      <x:c r="J143" s="11"/>
      <x:c r="K143" s="11"/>
      <x:c r="L143" s="11"/>
      <x:c r="M143" s="15"/>
      <x:c r="N143" s="14"/>
      <x:c r="O143" s="11"/>
    </x:row>
    <x:row r="144" ht="60" customHeight="1">
      <x:c r="A144" s="11"/>
      <x:c r="B144" s="11"/>
      <x:c r="C144" s="11"/>
      <x:c r="D144" s="11"/>
      <x:c r="E144" s="11"/>
      <x:c r="F144" s="11"/>
      <x:c r="G144" s="11"/>
      <x:c r="H144" s="15"/>
      <x:c r="I144" s="11"/>
      <x:c r="J144" s="11"/>
      <x:c r="K144" s="11"/>
      <x:c r="L144" s="11"/>
      <x:c r="M144" s="15"/>
      <x:c r="N144" s="14"/>
      <x:c r="O144" s="11"/>
    </x:row>
    <x:row r="145" ht="60" customHeight="1">
      <x:c r="A145" s="11"/>
      <x:c r="B145" s="11"/>
      <x:c r="C145" s="11"/>
      <x:c r="D145" s="11"/>
      <x:c r="E145" s="11"/>
      <x:c r="F145" s="11"/>
      <x:c r="G145" s="11"/>
      <x:c r="H145" s="15"/>
      <x:c r="I145" s="11"/>
      <x:c r="J145" s="11"/>
      <x:c r="K145" s="11"/>
      <x:c r="L145" s="11"/>
      <x:c r="M145" s="15"/>
      <x:c r="N145" s="14"/>
      <x:c r="O145" s="11"/>
    </x:row>
    <x:row r="146" ht="60" customHeight="1">
      <x:c r="A146" s="11"/>
      <x:c r="B146" s="11"/>
      <x:c r="C146" s="11"/>
      <x:c r="D146" s="11"/>
      <x:c r="E146" s="11"/>
      <x:c r="F146" s="11"/>
      <x:c r="G146" s="11"/>
      <x:c r="H146" s="15"/>
      <x:c r="I146" s="11"/>
      <x:c r="J146" s="11"/>
      <x:c r="K146" s="11"/>
      <x:c r="L146" s="11"/>
      <x:c r="M146" s="15"/>
      <x:c r="N146" s="14"/>
      <x:c r="O146" s="11"/>
    </x:row>
    <x:row r="147" ht="60" customHeight="1">
      <x:c r="A147" s="11"/>
      <x:c r="B147" s="11"/>
      <x:c r="C147" s="11"/>
      <x:c r="D147" s="11"/>
      <x:c r="E147" s="11"/>
      <x:c r="F147" s="11"/>
      <x:c r="G147" s="11"/>
      <x:c r="H147" s="15"/>
      <x:c r="I147" s="11"/>
      <x:c r="J147" s="11"/>
      <x:c r="K147" s="11"/>
      <x:c r="L147" s="11"/>
      <x:c r="M147" s="15"/>
      <x:c r="N147" s="14"/>
      <x:c r="O147" s="11"/>
    </x:row>
    <x:row r="148" ht="60" customHeight="1">
      <x:c r="A148" s="11"/>
      <x:c r="B148" s="11"/>
      <x:c r="C148" s="11"/>
      <x:c r="D148" s="11"/>
      <x:c r="E148" s="11"/>
      <x:c r="F148" s="11"/>
      <x:c r="G148" s="11"/>
      <x:c r="H148" s="15"/>
      <x:c r="I148" s="11"/>
      <x:c r="J148" s="11"/>
      <x:c r="K148" s="11"/>
      <x:c r="L148" s="11"/>
      <x:c r="M148" s="15"/>
      <x:c r="N148" s="14"/>
      <x:c r="O148" s="11"/>
    </x:row>
    <x:row r="149" ht="60" customHeight="1">
      <x:c r="A149" s="11"/>
      <x:c r="B149" s="11"/>
      <x:c r="C149" s="11"/>
      <x:c r="D149" s="11"/>
      <x:c r="E149" s="11"/>
      <x:c r="F149" s="11"/>
      <x:c r="G149" s="11"/>
      <x:c r="H149" s="15"/>
      <x:c r="I149" s="11"/>
      <x:c r="J149" s="11"/>
      <x:c r="K149" s="11"/>
      <x:c r="L149" s="11"/>
      <x:c r="M149" s="15"/>
      <x:c r="N149" s="14"/>
      <x:c r="O149" s="11"/>
    </x:row>
    <x:row r="150" ht="60" customHeight="1">
      <x:c r="A150" s="11"/>
      <x:c r="B150" s="11"/>
      <x:c r="C150" s="11"/>
      <x:c r="D150" s="11"/>
      <x:c r="E150" s="11"/>
      <x:c r="F150" s="11"/>
      <x:c r="G150" s="11"/>
      <x:c r="H150" s="15"/>
      <x:c r="I150" s="11"/>
      <x:c r="J150" s="11"/>
      <x:c r="K150" s="11"/>
      <x:c r="L150" s="11"/>
      <x:c r="M150" s="15"/>
      <x:c r="N150" s="14"/>
      <x:c r="O150" s="11"/>
    </x:row>
    <x:row r="151" ht="60" customHeight="1">
      <x:c r="A151" s="11"/>
      <x:c r="B151" s="11"/>
      <x:c r="C151" s="11"/>
      <x:c r="D151" s="11"/>
      <x:c r="E151" s="11"/>
      <x:c r="F151" s="11"/>
      <x:c r="G151" s="11"/>
      <x:c r="H151" s="15"/>
      <x:c r="I151" s="11"/>
      <x:c r="J151" s="11"/>
      <x:c r="K151" s="11"/>
      <x:c r="L151" s="11"/>
      <x:c r="M151" s="15"/>
      <x:c r="N151" s="14"/>
      <x:c r="O151" s="11"/>
    </x:row>
    <x:row r="152" ht="60" customHeight="1">
      <x:c r="A152" s="11"/>
      <x:c r="B152" s="11"/>
      <x:c r="C152" s="11"/>
      <x:c r="D152" s="11"/>
      <x:c r="E152" s="11"/>
      <x:c r="F152" s="11"/>
      <x:c r="G152" s="11"/>
      <x:c r="H152" s="15"/>
      <x:c r="I152" s="11"/>
      <x:c r="J152" s="11"/>
      <x:c r="K152" s="11"/>
      <x:c r="L152" s="11"/>
      <x:c r="M152" s="15"/>
      <x:c r="N152" s="14"/>
      <x:c r="O152" s="11"/>
    </x:row>
    <x:row r="153" ht="60" customHeight="1">
      <x:c r="A153" s="11"/>
      <x:c r="B153" s="11"/>
      <x:c r="C153" s="11"/>
      <x:c r="D153" s="11"/>
      <x:c r="E153" s="11"/>
      <x:c r="F153" s="11"/>
      <x:c r="G153" s="11"/>
      <x:c r="H153" s="15"/>
      <x:c r="I153" s="11"/>
      <x:c r="J153" s="11"/>
      <x:c r="K153" s="11"/>
      <x:c r="L153" s="11"/>
      <x:c r="M153" s="15"/>
      <x:c r="N153" s="14"/>
      <x:c r="O153" s="11"/>
    </x:row>
    <x:row r="154" ht="60" customHeight="1">
      <x:c r="A154" s="11"/>
      <x:c r="B154" s="11"/>
      <x:c r="C154" s="11"/>
      <x:c r="D154" s="11"/>
      <x:c r="E154" s="11"/>
      <x:c r="F154" s="11"/>
      <x:c r="G154" s="11"/>
      <x:c r="H154" s="15"/>
      <x:c r="I154" s="11"/>
      <x:c r="J154" s="11"/>
      <x:c r="K154" s="11"/>
      <x:c r="L154" s="11"/>
      <x:c r="M154" s="15"/>
      <x:c r="N154" s="14"/>
      <x:c r="O154" s="11"/>
    </x:row>
    <x:row r="155" ht="60" customHeight="1">
      <x:c r="A155" s="11"/>
      <x:c r="B155" s="11"/>
      <x:c r="C155" s="11"/>
      <x:c r="D155" s="11"/>
      <x:c r="E155" s="11"/>
      <x:c r="F155" s="11"/>
      <x:c r="G155" s="11"/>
      <x:c r="H155" s="15"/>
      <x:c r="I155" s="11"/>
      <x:c r="J155" s="11"/>
      <x:c r="K155" s="11"/>
      <x:c r="L155" s="11"/>
      <x:c r="M155" s="15"/>
      <x:c r="N155" s="14"/>
      <x:c r="O155" s="11"/>
    </x:row>
    <x:row r="156" ht="60" customHeight="1">
      <x:c r="A156" s="11"/>
      <x:c r="B156" s="11"/>
      <x:c r="C156" s="11"/>
      <x:c r="D156" s="11"/>
      <x:c r="E156" s="11"/>
      <x:c r="F156" s="11"/>
      <x:c r="G156" s="11"/>
      <x:c r="H156" s="15"/>
      <x:c r="I156" s="11"/>
      <x:c r="J156" s="11"/>
      <x:c r="K156" s="11"/>
      <x:c r="L156" s="11"/>
      <x:c r="M156" s="15"/>
      <x:c r="N156" s="14"/>
      <x:c r="O156" s="11"/>
    </x:row>
    <x:row r="157" ht="60" customHeight="1">
      <x:c r="A157" s="11"/>
      <x:c r="B157" s="11"/>
      <x:c r="C157" s="11"/>
      <x:c r="D157" s="11"/>
      <x:c r="E157" s="11"/>
      <x:c r="F157" s="11"/>
      <x:c r="G157" s="11"/>
      <x:c r="H157" s="15"/>
      <x:c r="I157" s="11"/>
      <x:c r="J157" s="11"/>
      <x:c r="K157" s="11"/>
      <x:c r="L157" s="11"/>
      <x:c r="M157" s="15"/>
      <x:c r="N157" s="14"/>
      <x:c r="O157" s="11"/>
    </x:row>
    <x:row r="158" ht="60" customHeight="1">
      <x:c r="A158" s="11"/>
      <x:c r="B158" s="11"/>
      <x:c r="C158" s="11"/>
      <x:c r="D158" s="11"/>
      <x:c r="E158" s="11"/>
      <x:c r="F158" s="11"/>
      <x:c r="G158" s="11"/>
      <x:c r="H158" s="15"/>
      <x:c r="I158" s="11"/>
      <x:c r="J158" s="11"/>
      <x:c r="K158" s="11"/>
      <x:c r="L158" s="11"/>
      <x:c r="M158" s="15"/>
      <x:c r="N158" s="14"/>
      <x:c r="O158" s="11"/>
    </x:row>
    <x:row r="159" ht="60" customHeight="1">
      <x:c r="A159" s="11"/>
      <x:c r="B159" s="11"/>
      <x:c r="C159" s="11"/>
      <x:c r="D159" s="11"/>
      <x:c r="E159" s="11"/>
      <x:c r="F159" s="11"/>
      <x:c r="G159" s="11"/>
      <x:c r="H159" s="15"/>
      <x:c r="I159" s="11"/>
      <x:c r="J159" s="11"/>
      <x:c r="K159" s="11"/>
      <x:c r="L159" s="11"/>
      <x:c r="M159" s="15"/>
      <x:c r="N159" s="14"/>
      <x:c r="O159" s="11"/>
    </x:row>
    <x:row r="160" ht="60" customHeight="1">
      <x:c r="A160" s="11"/>
      <x:c r="B160" s="11"/>
      <x:c r="C160" s="11"/>
      <x:c r="D160" s="11"/>
      <x:c r="E160" s="11"/>
      <x:c r="F160" s="11"/>
      <x:c r="G160" s="11"/>
      <x:c r="H160" s="15"/>
      <x:c r="I160" s="11"/>
      <x:c r="J160" s="11"/>
      <x:c r="K160" s="11"/>
      <x:c r="L160" s="11"/>
      <x:c r="M160" s="15"/>
      <x:c r="N160" s="14"/>
      <x:c r="O160" s="11"/>
    </x:row>
    <x:row r="161" ht="60" customHeight="1">
      <x:c r="A161" s="11"/>
      <x:c r="B161" s="11"/>
      <x:c r="C161" s="11"/>
      <x:c r="D161" s="11"/>
      <x:c r="E161" s="11"/>
      <x:c r="F161" s="11"/>
      <x:c r="G161" s="11"/>
      <x:c r="H161" s="15"/>
      <x:c r="I161" s="11"/>
      <x:c r="J161" s="11"/>
      <x:c r="K161" s="11"/>
      <x:c r="L161" s="11"/>
      <x:c r="M161" s="15"/>
      <x:c r="N161" s="14"/>
      <x:c r="O161" s="11"/>
    </x:row>
    <x:row r="162" ht="60" customHeight="1">
      <x:c r="A162" s="11"/>
      <x:c r="B162" s="11"/>
      <x:c r="C162" s="11"/>
      <x:c r="D162" s="11"/>
      <x:c r="E162" s="11"/>
      <x:c r="F162" s="11"/>
      <x:c r="G162" s="11"/>
      <x:c r="H162" s="15"/>
      <x:c r="I162" s="11"/>
      <x:c r="J162" s="11"/>
      <x:c r="K162" s="11"/>
      <x:c r="L162" s="11"/>
      <x:c r="M162" s="15"/>
      <x:c r="N162" s="14"/>
      <x:c r="O162" s="11"/>
    </x:row>
    <x:row r="163" ht="60" customHeight="1">
      <x:c r="A163" s="11"/>
      <x:c r="B163" s="11"/>
      <x:c r="C163" s="11"/>
      <x:c r="D163" s="11"/>
      <x:c r="E163" s="11"/>
      <x:c r="F163" s="11"/>
      <x:c r="G163" s="11"/>
      <x:c r="H163" s="15"/>
      <x:c r="I163" s="11"/>
      <x:c r="J163" s="11"/>
      <x:c r="K163" s="11"/>
      <x:c r="L163" s="11"/>
      <x:c r="M163" s="15"/>
      <x:c r="N163" s="14"/>
      <x:c r="O163" s="11"/>
    </x:row>
    <x:row r="164" ht="60" customHeight="1">
      <x:c r="A164" s="11"/>
      <x:c r="B164" s="11"/>
      <x:c r="C164" s="11"/>
      <x:c r="D164" s="11"/>
      <x:c r="E164" s="11"/>
      <x:c r="F164" s="11"/>
      <x:c r="G164" s="11"/>
      <x:c r="H164" s="15"/>
      <x:c r="I164" s="11"/>
      <x:c r="J164" s="11"/>
      <x:c r="K164" s="11"/>
      <x:c r="L164" s="11"/>
      <x:c r="M164" s="15"/>
      <x:c r="N164" s="14"/>
      <x:c r="O164" s="11"/>
    </x:row>
    <x:row r="165" ht="60" customHeight="1">
      <x:c r="A165" s="11"/>
      <x:c r="B165" s="11"/>
      <x:c r="C165" s="11"/>
      <x:c r="D165" s="11"/>
      <x:c r="E165" s="11"/>
      <x:c r="F165" s="11"/>
      <x:c r="G165" s="11"/>
      <x:c r="H165" s="15"/>
      <x:c r="I165" s="11"/>
      <x:c r="J165" s="11"/>
      <x:c r="K165" s="11"/>
      <x:c r="L165" s="11"/>
      <x:c r="M165" s="15"/>
      <x:c r="N165" s="14"/>
      <x:c r="O165" s="11"/>
    </x:row>
    <x:row r="166" ht="60" customHeight="1">
      <x:c r="A166" s="11"/>
      <x:c r="B166" s="11"/>
      <x:c r="C166" s="11"/>
      <x:c r="D166" s="11"/>
      <x:c r="E166" s="11"/>
      <x:c r="F166" s="11"/>
      <x:c r="G166" s="11"/>
      <x:c r="H166" s="15"/>
      <x:c r="I166" s="11"/>
      <x:c r="J166" s="11"/>
      <x:c r="K166" s="11"/>
      <x:c r="L166" s="11"/>
      <x:c r="M166" s="15"/>
      <x:c r="N166" s="14"/>
      <x:c r="O166" s="11"/>
    </x:row>
    <x:row r="167" ht="60" customHeight="1">
      <x:c r="A167" s="11"/>
      <x:c r="B167" s="11"/>
      <x:c r="C167" s="11"/>
      <x:c r="D167" s="11"/>
      <x:c r="E167" s="11"/>
      <x:c r="F167" s="11"/>
      <x:c r="G167" s="11"/>
      <x:c r="H167" s="15"/>
      <x:c r="I167" s="11"/>
      <x:c r="J167" s="11"/>
      <x:c r="K167" s="11"/>
      <x:c r="L167" s="11"/>
      <x:c r="M167" s="15"/>
      <x:c r="N167" s="14"/>
      <x:c r="O167" s="11"/>
    </x:row>
    <x:row r="168" ht="60" customHeight="1">
      <x:c r="A168" s="11"/>
      <x:c r="B168" s="11"/>
      <x:c r="C168" s="11"/>
      <x:c r="D168" s="11"/>
      <x:c r="E168" s="11"/>
      <x:c r="F168" s="11"/>
      <x:c r="G168" s="11"/>
      <x:c r="H168" s="15"/>
      <x:c r="I168" s="11"/>
      <x:c r="J168" s="11"/>
      <x:c r="K168" s="11"/>
      <x:c r="L168" s="11"/>
      <x:c r="M168" s="15"/>
      <x:c r="N168" s="14"/>
      <x:c r="O168" s="11"/>
    </x:row>
    <x:row r="169" ht="60" customHeight="1">
      <x:c r="A169" s="11"/>
      <x:c r="B169" s="11"/>
      <x:c r="C169" s="11"/>
      <x:c r="D169" s="11"/>
      <x:c r="E169" s="11"/>
      <x:c r="F169" s="11"/>
      <x:c r="G169" s="11"/>
      <x:c r="H169" s="15"/>
      <x:c r="I169" s="11"/>
      <x:c r="J169" s="11"/>
      <x:c r="K169" s="11"/>
      <x:c r="L169" s="11"/>
      <x:c r="M169" s="15"/>
      <x:c r="N169" s="14"/>
      <x:c r="O169" s="11"/>
    </x:row>
    <x:row r="170" ht="60" customHeight="1">
      <x:c r="A170" s="11"/>
      <x:c r="B170" s="11"/>
      <x:c r="C170" s="11"/>
      <x:c r="D170" s="11"/>
      <x:c r="E170" s="11"/>
      <x:c r="F170" s="11"/>
      <x:c r="G170" s="11"/>
      <x:c r="H170" s="15"/>
      <x:c r="I170" s="11"/>
      <x:c r="J170" s="11"/>
      <x:c r="K170" s="11"/>
      <x:c r="L170" s="11"/>
      <x:c r="M170" s="15"/>
      <x:c r="N170" s="14"/>
      <x:c r="O170" s="11"/>
    </x:row>
    <x:row r="171" ht="60" customHeight="1">
      <x:c r="A171" s="11"/>
      <x:c r="B171" s="11"/>
      <x:c r="C171" s="11"/>
      <x:c r="D171" s="11"/>
      <x:c r="E171" s="11"/>
      <x:c r="F171" s="11"/>
      <x:c r="G171" s="11"/>
      <x:c r="H171" s="15"/>
      <x:c r="I171" s="11"/>
      <x:c r="J171" s="11"/>
      <x:c r="K171" s="11"/>
      <x:c r="L171" s="11"/>
      <x:c r="M171" s="15"/>
      <x:c r="N171" s="14"/>
      <x:c r="O171" s="11"/>
    </x:row>
    <x:row r="172" ht="60" customHeight="1">
      <x:c r="A172" s="11"/>
      <x:c r="B172" s="11"/>
      <x:c r="C172" s="11"/>
      <x:c r="D172" s="11"/>
      <x:c r="E172" s="11"/>
      <x:c r="F172" s="11"/>
      <x:c r="G172" s="11"/>
      <x:c r="H172" s="15"/>
      <x:c r="I172" s="11"/>
      <x:c r="J172" s="11"/>
      <x:c r="K172" s="11"/>
      <x:c r="L172" s="11"/>
      <x:c r="M172" s="15"/>
      <x:c r="N172" s="14"/>
      <x:c r="O172" s="11"/>
    </x:row>
    <x:row r="173" ht="60" customHeight="1">
      <x:c r="A173" s="11"/>
      <x:c r="B173" s="11"/>
      <x:c r="C173" s="11"/>
      <x:c r="D173" s="11"/>
      <x:c r="E173" s="11"/>
      <x:c r="F173" s="11"/>
      <x:c r="G173" s="11"/>
      <x:c r="H173" s="15"/>
      <x:c r="I173" s="11"/>
      <x:c r="J173" s="11"/>
      <x:c r="K173" s="11"/>
      <x:c r="L173" s="11"/>
      <x:c r="M173" s="15"/>
      <x:c r="N173" s="14"/>
      <x:c r="O173" s="11"/>
    </x:row>
    <x:row r="174" ht="60" customHeight="1">
      <x:c r="A174" s="11"/>
      <x:c r="B174" s="11"/>
      <x:c r="C174" s="11"/>
      <x:c r="D174" s="11"/>
      <x:c r="E174" s="11"/>
      <x:c r="F174" s="11"/>
      <x:c r="G174" s="11"/>
      <x:c r="H174" s="15"/>
      <x:c r="I174" s="11"/>
      <x:c r="J174" s="11"/>
      <x:c r="K174" s="11"/>
      <x:c r="L174" s="11"/>
      <x:c r="M174" s="15"/>
      <x:c r="N174" s="14"/>
      <x:c r="O174" s="11"/>
    </x:row>
    <x:row r="175" ht="60" customHeight="1">
      <x:c r="A175" s="11"/>
      <x:c r="B175" s="11"/>
      <x:c r="C175" s="11"/>
      <x:c r="D175" s="11"/>
      <x:c r="E175" s="11"/>
      <x:c r="F175" s="11"/>
      <x:c r="G175" s="11"/>
      <x:c r="H175" s="15"/>
      <x:c r="I175" s="11"/>
      <x:c r="J175" s="11"/>
      <x:c r="K175" s="11"/>
      <x:c r="L175" s="11"/>
      <x:c r="M175" s="15"/>
      <x:c r="N175" s="14"/>
      <x:c r="O175" s="11"/>
    </x:row>
    <x:row r="176" ht="60" customHeight="1">
      <x:c r="A176" s="11"/>
      <x:c r="B176" s="11"/>
      <x:c r="C176" s="11"/>
      <x:c r="D176" s="11"/>
      <x:c r="E176" s="11"/>
      <x:c r="F176" s="11"/>
      <x:c r="G176" s="11"/>
      <x:c r="H176" s="15"/>
      <x:c r="I176" s="11"/>
      <x:c r="J176" s="11"/>
      <x:c r="K176" s="11"/>
      <x:c r="L176" s="11"/>
      <x:c r="M176" s="15"/>
      <x:c r="N176" s="14"/>
      <x:c r="O176" s="11"/>
    </x:row>
    <x:row r="177" ht="60" customHeight="1">
      <x:c r="A177" s="11"/>
      <x:c r="B177" s="11"/>
      <x:c r="C177" s="11"/>
      <x:c r="D177" s="11"/>
      <x:c r="E177" s="11"/>
      <x:c r="F177" s="11"/>
      <x:c r="G177" s="11"/>
      <x:c r="H177" s="15"/>
      <x:c r="I177" s="11"/>
      <x:c r="J177" s="11"/>
      <x:c r="K177" s="11"/>
      <x:c r="L177" s="11"/>
      <x:c r="M177" s="15"/>
      <x:c r="N177" s="14"/>
      <x:c r="O177" s="11"/>
    </x:row>
    <x:row r="178" ht="60" customHeight="1">
      <x:c r="A178" s="11"/>
      <x:c r="B178" s="11"/>
      <x:c r="C178" s="11"/>
      <x:c r="D178" s="11"/>
      <x:c r="E178" s="11"/>
      <x:c r="F178" s="11"/>
      <x:c r="G178" s="11"/>
      <x:c r="H178" s="15"/>
      <x:c r="I178" s="11"/>
      <x:c r="J178" s="11"/>
      <x:c r="K178" s="11"/>
      <x:c r="L178" s="11"/>
      <x:c r="M178" s="15"/>
      <x:c r="N178" s="14"/>
      <x:c r="O178" s="11"/>
    </x:row>
    <x:row r="179" ht="60" customHeight="1">
      <x:c r="A179" s="11"/>
      <x:c r="B179" s="11"/>
      <x:c r="C179" s="11"/>
      <x:c r="D179" s="11"/>
      <x:c r="E179" s="11"/>
      <x:c r="F179" s="11"/>
      <x:c r="G179" s="11"/>
      <x:c r="H179" s="15"/>
      <x:c r="I179" s="11"/>
      <x:c r="J179" s="11"/>
      <x:c r="K179" s="11"/>
      <x:c r="L179" s="11"/>
      <x:c r="M179" s="15"/>
      <x:c r="N179" s="14"/>
      <x:c r="O179" s="11"/>
    </x:row>
    <x:row r="180" ht="60" customHeight="1">
      <x:c r="A180" s="11"/>
      <x:c r="B180" s="11"/>
      <x:c r="C180" s="11"/>
      <x:c r="D180" s="11"/>
      <x:c r="E180" s="11"/>
      <x:c r="F180" s="11"/>
      <x:c r="G180" s="11"/>
      <x:c r="H180" s="15"/>
      <x:c r="I180" s="11"/>
      <x:c r="J180" s="11"/>
      <x:c r="K180" s="11"/>
      <x:c r="L180" s="11"/>
      <x:c r="M180" s="15"/>
      <x:c r="N180" s="14"/>
      <x:c r="O180" s="11"/>
    </x:row>
    <x:row r="181" ht="60" customHeight="1">
      <x:c r="A181" s="11"/>
      <x:c r="B181" s="11"/>
      <x:c r="C181" s="11"/>
      <x:c r="D181" s="11"/>
      <x:c r="E181" s="11"/>
      <x:c r="F181" s="11"/>
      <x:c r="G181" s="11"/>
      <x:c r="H181" s="15"/>
      <x:c r="I181" s="11"/>
      <x:c r="J181" s="11"/>
      <x:c r="K181" s="11"/>
      <x:c r="L181" s="11"/>
      <x:c r="M181" s="15"/>
      <x:c r="N181" s="14"/>
      <x:c r="O181" s="11"/>
    </x:row>
    <x:row r="182" ht="60" customHeight="1">
      <x:c r="A182" s="11"/>
      <x:c r="B182" s="11"/>
      <x:c r="C182" s="11"/>
      <x:c r="D182" s="11"/>
      <x:c r="E182" s="11"/>
      <x:c r="F182" s="11"/>
      <x:c r="G182" s="11"/>
      <x:c r="H182" s="15"/>
      <x:c r="I182" s="11"/>
      <x:c r="J182" s="11"/>
      <x:c r="K182" s="11"/>
      <x:c r="L182" s="11"/>
      <x:c r="M182" s="15"/>
      <x:c r="N182" s="14"/>
      <x:c r="O182" s="11"/>
    </x:row>
    <x:row r="183" ht="60" customHeight="1">
      <x:c r="A183" s="11"/>
      <x:c r="B183" s="11"/>
      <x:c r="C183" s="11"/>
      <x:c r="D183" s="11"/>
      <x:c r="E183" s="11"/>
      <x:c r="F183" s="11"/>
      <x:c r="G183" s="11"/>
      <x:c r="H183" s="15"/>
      <x:c r="I183" s="11"/>
      <x:c r="J183" s="11"/>
      <x:c r="K183" s="11"/>
      <x:c r="L183" s="11"/>
      <x:c r="M183" s="15"/>
      <x:c r="N183" s="14"/>
      <x:c r="O183" s="11"/>
    </x:row>
    <x:row r="184" ht="60" customHeight="1">
      <x:c r="A184" s="11"/>
      <x:c r="B184" s="11"/>
      <x:c r="C184" s="11"/>
      <x:c r="D184" s="11"/>
      <x:c r="E184" s="11"/>
      <x:c r="F184" s="11"/>
      <x:c r="G184" s="11"/>
      <x:c r="H184" s="15"/>
      <x:c r="I184" s="11"/>
      <x:c r="J184" s="11"/>
      <x:c r="K184" s="11"/>
      <x:c r="L184" s="11"/>
      <x:c r="M184" s="15"/>
      <x:c r="N184" s="14"/>
      <x:c r="O184" s="11"/>
    </x:row>
    <x:row r="185" ht="60" customHeight="1">
      <x:c r="A185" s="11"/>
      <x:c r="B185" s="11"/>
      <x:c r="C185" s="11"/>
      <x:c r="D185" s="11"/>
      <x:c r="E185" s="11"/>
      <x:c r="F185" s="11"/>
      <x:c r="G185" s="11"/>
      <x:c r="H185" s="15"/>
      <x:c r="I185" s="11"/>
      <x:c r="J185" s="11"/>
      <x:c r="K185" s="11"/>
      <x:c r="L185" s="11"/>
      <x:c r="M185" s="15"/>
      <x:c r="N185" s="14"/>
      <x:c r="O185" s="11"/>
    </x:row>
    <x:row r="186" ht="60" customHeight="1">
      <x:c r="A186" s="11"/>
      <x:c r="B186" s="11"/>
      <x:c r="C186" s="11"/>
      <x:c r="D186" s="11"/>
      <x:c r="E186" s="11"/>
      <x:c r="F186" s="11"/>
      <x:c r="G186" s="11"/>
      <x:c r="H186" s="15"/>
      <x:c r="I186" s="11"/>
      <x:c r="J186" s="11"/>
      <x:c r="K186" s="11"/>
      <x:c r="L186" s="11"/>
      <x:c r="M186" s="15"/>
      <x:c r="N186" s="14"/>
      <x:c r="O186" s="11"/>
    </x:row>
    <x:row r="187" ht="60" customHeight="1">
      <x:c r="A187" s="11"/>
      <x:c r="B187" s="11"/>
      <x:c r="C187" s="11"/>
      <x:c r="D187" s="11"/>
      <x:c r="E187" s="11"/>
      <x:c r="F187" s="11"/>
      <x:c r="G187" s="11"/>
      <x:c r="H187" s="15"/>
      <x:c r="I187" s="11"/>
      <x:c r="J187" s="11"/>
      <x:c r="K187" s="11"/>
      <x:c r="L187" s="11"/>
      <x:c r="M187" s="15"/>
      <x:c r="N187" s="14"/>
      <x:c r="O187" s="11"/>
    </x:row>
    <x:row r="188" ht="60" customHeight="1">
      <x:c r="A188" s="11"/>
      <x:c r="B188" s="11"/>
      <x:c r="C188" s="11"/>
      <x:c r="D188" s="11"/>
      <x:c r="E188" s="11"/>
      <x:c r="F188" s="11"/>
      <x:c r="G188" s="11"/>
      <x:c r="H188" s="15"/>
      <x:c r="I188" s="11"/>
      <x:c r="J188" s="11"/>
      <x:c r="K188" s="11"/>
      <x:c r="L188" s="11"/>
      <x:c r="M188" s="15"/>
      <x:c r="N188" s="14"/>
      <x:c r="O188" s="11"/>
    </x:row>
    <x:row r="189" ht="60" customHeight="1">
      <x:c r="A189" s="11"/>
      <x:c r="B189" s="11"/>
      <x:c r="C189" s="11"/>
      <x:c r="D189" s="11"/>
      <x:c r="E189" s="11"/>
      <x:c r="F189" s="11"/>
      <x:c r="G189" s="11"/>
      <x:c r="H189" s="15"/>
      <x:c r="I189" s="11"/>
      <x:c r="J189" s="11"/>
      <x:c r="K189" s="11"/>
      <x:c r="L189" s="11"/>
      <x:c r="M189" s="15"/>
      <x:c r="N189" s="14"/>
      <x:c r="O189" s="11"/>
    </x:row>
    <x:row r="190" ht="60" customHeight="1">
      <x:c r="A190" s="11"/>
      <x:c r="B190" s="11"/>
      <x:c r="C190" s="11"/>
      <x:c r="D190" s="11"/>
      <x:c r="E190" s="11"/>
      <x:c r="F190" s="11"/>
      <x:c r="G190" s="11"/>
      <x:c r="H190" s="15"/>
      <x:c r="I190" s="11"/>
      <x:c r="J190" s="11"/>
      <x:c r="K190" s="11"/>
      <x:c r="L190" s="11"/>
      <x:c r="M190" s="15"/>
      <x:c r="N190" s="14"/>
      <x:c r="O190" s="11"/>
    </x:row>
    <x:row r="191" ht="60" customHeight="1">
      <x:c r="A191" s="11"/>
      <x:c r="B191" s="11"/>
      <x:c r="C191" s="11"/>
      <x:c r="D191" s="11"/>
      <x:c r="E191" s="11"/>
      <x:c r="F191" s="11"/>
      <x:c r="G191" s="11"/>
      <x:c r="H191" s="15"/>
      <x:c r="I191" s="11"/>
      <x:c r="J191" s="11"/>
      <x:c r="K191" s="11"/>
      <x:c r="L191" s="11"/>
      <x:c r="M191" s="15"/>
      <x:c r="N191" s="14"/>
      <x:c r="O191" s="11"/>
    </x:row>
    <x:row r="192" ht="60" customHeight="1">
      <x:c r="A192" s="11"/>
      <x:c r="B192" s="11"/>
      <x:c r="C192" s="11"/>
      <x:c r="D192" s="11"/>
      <x:c r="E192" s="11"/>
      <x:c r="F192" s="11"/>
      <x:c r="G192" s="11"/>
      <x:c r="H192" s="15"/>
      <x:c r="I192" s="11"/>
      <x:c r="J192" s="11"/>
      <x:c r="K192" s="11"/>
      <x:c r="L192" s="11"/>
      <x:c r="M192" s="15"/>
      <x:c r="N192" s="14"/>
      <x:c r="O192" s="11"/>
    </x:row>
    <x:row r="193" ht="60" customHeight="1">
      <x:c r="A193" s="11"/>
      <x:c r="B193" s="11"/>
      <x:c r="C193" s="11"/>
      <x:c r="D193" s="11"/>
      <x:c r="E193" s="11"/>
      <x:c r="F193" s="11"/>
      <x:c r="G193" s="11"/>
      <x:c r="H193" s="15"/>
      <x:c r="I193" s="11"/>
      <x:c r="J193" s="11"/>
      <x:c r="K193" s="11"/>
      <x:c r="L193" s="11"/>
      <x:c r="M193" s="15"/>
      <x:c r="N193" s="14"/>
      <x:c r="O193" s="11"/>
    </x:row>
    <x:row r="194" ht="60" customHeight="1">
      <x:c r="A194" s="11"/>
      <x:c r="B194" s="11"/>
      <x:c r="C194" s="11"/>
      <x:c r="D194" s="11"/>
      <x:c r="E194" s="11"/>
      <x:c r="F194" s="11"/>
      <x:c r="G194" s="11"/>
      <x:c r="H194" s="15"/>
      <x:c r="I194" s="11"/>
      <x:c r="J194" s="11"/>
      <x:c r="K194" s="11"/>
      <x:c r="L194" s="11"/>
      <x:c r="M194" s="15"/>
      <x:c r="N194" s="14"/>
      <x:c r="O194" s="11"/>
    </x:row>
    <x:row r="195" ht="60" customHeight="1">
      <x:c r="A195" s="11"/>
      <x:c r="B195" s="11"/>
      <x:c r="C195" s="11"/>
      <x:c r="D195" s="11"/>
      <x:c r="E195" s="11"/>
      <x:c r="F195" s="11"/>
      <x:c r="G195" s="11"/>
      <x:c r="H195" s="15"/>
      <x:c r="I195" s="11"/>
      <x:c r="J195" s="11"/>
      <x:c r="K195" s="11"/>
      <x:c r="L195" s="11"/>
      <x:c r="M195" s="15"/>
      <x:c r="N195" s="14"/>
      <x:c r="O195" s="11"/>
    </x:row>
    <x:row r="196" ht="60" customHeight="1">
      <x:c r="A196" s="11"/>
      <x:c r="B196" s="11"/>
      <x:c r="C196" s="11"/>
      <x:c r="D196" s="11"/>
      <x:c r="E196" s="11"/>
      <x:c r="F196" s="11"/>
      <x:c r="G196" s="11"/>
      <x:c r="H196" s="15"/>
      <x:c r="I196" s="11"/>
      <x:c r="J196" s="11"/>
      <x:c r="K196" s="11"/>
      <x:c r="L196" s="11"/>
      <x:c r="M196" s="15"/>
      <x:c r="N196" s="14"/>
      <x:c r="O196" s="11"/>
    </x:row>
    <x:row r="197" ht="60" customHeight="1">
      <x:c r="A197" s="11"/>
      <x:c r="B197" s="11"/>
      <x:c r="C197" s="11"/>
      <x:c r="D197" s="11"/>
      <x:c r="E197" s="11"/>
      <x:c r="F197" s="11"/>
      <x:c r="G197" s="11"/>
      <x:c r="H197" s="15"/>
      <x:c r="I197" s="11"/>
      <x:c r="J197" s="11"/>
      <x:c r="K197" s="11"/>
      <x:c r="L197" s="11"/>
      <x:c r="M197" s="15"/>
      <x:c r="N197" s="14"/>
      <x:c r="O197" s="11"/>
    </x:row>
    <x:row r="198" ht="60" customHeight="1">
      <x:c r="A198" s="11"/>
      <x:c r="B198" s="11"/>
      <x:c r="C198" s="11"/>
      <x:c r="D198" s="11"/>
      <x:c r="E198" s="11"/>
      <x:c r="F198" s="11"/>
      <x:c r="G198" s="11"/>
      <x:c r="H198" s="15"/>
      <x:c r="I198" s="11"/>
      <x:c r="J198" s="11"/>
      <x:c r="K198" s="11"/>
      <x:c r="L198" s="11"/>
      <x:c r="M198" s="15"/>
      <x:c r="N198" s="14"/>
      <x:c r="O198" s="11"/>
    </x:row>
    <x:row r="199" ht="60" customHeight="1">
      <x:c r="A199" s="11"/>
      <x:c r="B199" s="11"/>
      <x:c r="C199" s="11"/>
      <x:c r="D199" s="11"/>
      <x:c r="E199" s="11"/>
      <x:c r="F199" s="11"/>
      <x:c r="G199" s="11"/>
      <x:c r="H199" s="15"/>
      <x:c r="I199" s="11"/>
      <x:c r="J199" s="11"/>
      <x:c r="K199" s="11"/>
      <x:c r="L199" s="11"/>
      <x:c r="M199" s="15"/>
      <x:c r="N199" s="14"/>
      <x:c r="O199" s="11"/>
    </x:row>
    <x:row r="200" ht="60" customHeight="1">
      <x:c r="A200" s="11"/>
      <x:c r="B200" s="11"/>
      <x:c r="C200" s="11"/>
      <x:c r="D200" s="11"/>
      <x:c r="E200" s="11"/>
      <x:c r="F200" s="11"/>
      <x:c r="G200" s="11"/>
      <x:c r="H200" s="15"/>
      <x:c r="I200" s="11"/>
      <x:c r="J200" s="11"/>
      <x:c r="K200" s="11"/>
      <x:c r="L200" s="11"/>
      <x:c r="M200" s="15"/>
      <x:c r="N200" s="14"/>
      <x:c r="O200" s="11"/>
    </x:row>
    <x:row r="201" ht="60" customHeight="1">
      <x:c r="A201" s="11"/>
      <x:c r="B201" s="11"/>
      <x:c r="C201" s="11"/>
      <x:c r="D201" s="11"/>
      <x:c r="E201" s="11"/>
      <x:c r="F201" s="11"/>
      <x:c r="G201" s="11"/>
      <x:c r="H201" s="15"/>
      <x:c r="I201" s="11"/>
      <x:c r="J201" s="11"/>
      <x:c r="K201" s="11"/>
      <x:c r="L201" s="11"/>
      <x:c r="M201" s="15"/>
      <x:c r="N201" s="14"/>
      <x:c r="O201" s="11"/>
    </x:row>
    <x:row r="202" ht="60" customHeight="1">
      <x:c r="A202" s="11"/>
      <x:c r="B202" s="11"/>
      <x:c r="C202" s="11"/>
      <x:c r="D202" s="11"/>
      <x:c r="E202" s="11"/>
      <x:c r="F202" s="11"/>
      <x:c r="G202" s="11"/>
      <x:c r="H202" s="15"/>
      <x:c r="I202" s="11"/>
      <x:c r="J202" s="11"/>
      <x:c r="K202" s="11"/>
      <x:c r="L202" s="11"/>
      <x:c r="M202" s="15"/>
      <x:c r="N202" s="14"/>
      <x:c r="O202" s="11"/>
    </x:row>
    <x:row r="203" ht="60" customHeight="1">
      <x:c r="A203" s="11"/>
      <x:c r="B203" s="11"/>
      <x:c r="C203" s="11"/>
      <x:c r="D203" s="11"/>
      <x:c r="E203" s="11"/>
      <x:c r="F203" s="11"/>
      <x:c r="G203" s="11"/>
      <x:c r="H203" s="15"/>
      <x:c r="I203" s="11"/>
      <x:c r="J203" s="11"/>
      <x:c r="K203" s="11"/>
      <x:c r="L203" s="11"/>
      <x:c r="M203" s="15"/>
      <x:c r="N203" s="14"/>
      <x:c r="O203" s="11"/>
    </x:row>
    <x:row r="204" ht="60" customHeight="1">
      <x:c r="A204" s="11"/>
      <x:c r="B204" s="11"/>
      <x:c r="C204" s="11"/>
      <x:c r="D204" s="11"/>
      <x:c r="E204" s="11"/>
      <x:c r="F204" s="11"/>
      <x:c r="G204" s="11"/>
      <x:c r="H204" s="15"/>
      <x:c r="I204" s="11"/>
      <x:c r="J204" s="11"/>
      <x:c r="K204" s="11"/>
      <x:c r="L204" s="11"/>
      <x:c r="M204" s="15"/>
      <x:c r="N204" s="14"/>
      <x:c r="O204" s="11"/>
    </x:row>
    <x:row r="205" ht="60" customHeight="1">
      <x:c r="A205" s="11"/>
      <x:c r="B205" s="11"/>
      <x:c r="C205" s="11"/>
      <x:c r="D205" s="11"/>
      <x:c r="E205" s="11"/>
      <x:c r="F205" s="11"/>
      <x:c r="G205" s="11"/>
      <x:c r="H205" s="15"/>
      <x:c r="I205" s="11"/>
      <x:c r="J205" s="11"/>
      <x:c r="K205" s="11"/>
      <x:c r="L205" s="11"/>
      <x:c r="M205" s="15"/>
      <x:c r="N205" s="14"/>
      <x:c r="O205" s="11"/>
    </x:row>
    <x:row r="206" ht="60" customHeight="1">
      <x:c r="A206" s="11"/>
      <x:c r="B206" s="11"/>
      <x:c r="C206" s="11"/>
      <x:c r="D206" s="11"/>
      <x:c r="E206" s="11"/>
      <x:c r="F206" s="11"/>
      <x:c r="G206" s="11"/>
      <x:c r="H206" s="15"/>
      <x:c r="I206" s="11"/>
      <x:c r="J206" s="11"/>
      <x:c r="K206" s="11"/>
      <x:c r="L206" s="11"/>
      <x:c r="M206" s="15"/>
      <x:c r="N206" s="14"/>
      <x:c r="O206" s="11"/>
    </x:row>
  </x:sheetData>
  <x:conditionalFormatting sqref="I7:I206">
    <x:cfRule type="containsText" dxfId="8" priority="1" operator="containsText" text="Conflict"/>
  </x:conditionalFormatting>
  <x:dataValidations count="1">
    <x:dataValidation type="list" sqref="I7:I206">
      <x:formula1>"Pending,Submitted,In Review,Accepted,Conflict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82daea52574eb6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2" t="str">
        <x:v>Evidence index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2" customHeight="1">
      <x:c r="A6" s="8" t="str">
        <x:v>Evidence ID</x:v>
      </x:c>
      <x:c r="B6" s="8" t="str">
        <x:v>Project ID</x:v>
      </x:c>
      <x:c r="C6" s="8" t="str">
        <x:v>Record Type</x:v>
      </x:c>
      <x:c r="D6" s="8" t="str">
        <x:v>Origin</x:v>
      </x:c>
      <x:c r="E6" s="8" t="str">
        <x:v>Locator</x:v>
      </x:c>
      <x:c r="F6" s="8" t="str">
        <x:v>Captured Date</x:v>
      </x:c>
      <x:c r="G6" s="8" t="str">
        <x:v>Captured By</x:v>
      </x:c>
      <x:c r="H6" s="8" t="str">
        <x:v>Checksum</x:v>
      </x:c>
      <x:c r="I6" s="8" t="str">
        <x:v>Access Class</x:v>
      </x:c>
      <x:c r="J6" s="8" t="str">
        <x:v>Verification Status</x:v>
      </x:c>
      <x:c r="K6" s="8" t="str">
        <x:v>Revision</x:v>
      </x:c>
      <x:c r="L6" s="8" t="str">
        <x:v>Source Reference</x:v>
      </x:c>
    </x:row>
    <x:row r="7" ht="60" customHeight="1">
      <x:c r="A7" s="11"/>
      <x:c r="B7" s="11"/>
      <x:c r="C7" s="11"/>
      <x:c r="D7" s="11"/>
      <x:c r="E7" s="11"/>
      <x:c r="F7" s="15"/>
      <x:c r="G7" s="11"/>
      <x:c r="H7" s="11"/>
      <x:c r="I7" s="11"/>
      <x:c r="J7" s="11"/>
      <x:c r="K7" s="14"/>
      <x:c r="L7" s="11"/>
    </x:row>
    <x:row r="8" ht="60" customHeight="1">
      <x:c r="A8" s="11"/>
      <x:c r="B8" s="11"/>
      <x:c r="C8" s="11"/>
      <x:c r="D8" s="11"/>
      <x:c r="E8" s="11"/>
      <x:c r="F8" s="15"/>
      <x:c r="G8" s="11"/>
      <x:c r="H8" s="11"/>
      <x:c r="I8" s="11"/>
      <x:c r="J8" s="11"/>
      <x:c r="K8" s="14"/>
      <x:c r="L8" s="11"/>
    </x:row>
    <x:row r="9" ht="60" customHeight="1">
      <x:c r="A9" s="11"/>
      <x:c r="B9" s="11"/>
      <x:c r="C9" s="11"/>
      <x:c r="D9" s="11"/>
      <x:c r="E9" s="11"/>
      <x:c r="F9" s="15"/>
      <x:c r="G9" s="11"/>
      <x:c r="H9" s="11"/>
      <x:c r="I9" s="11"/>
      <x:c r="J9" s="11"/>
      <x:c r="K9" s="14"/>
      <x:c r="L9" s="11"/>
    </x:row>
    <x:row r="10" ht="60" customHeight="1">
      <x:c r="A10" s="11"/>
      <x:c r="B10" s="11"/>
      <x:c r="C10" s="11"/>
      <x:c r="D10" s="11"/>
      <x:c r="E10" s="11"/>
      <x:c r="F10" s="15"/>
      <x:c r="G10" s="11"/>
      <x:c r="H10" s="11"/>
      <x:c r="I10" s="11"/>
      <x:c r="J10" s="11"/>
      <x:c r="K10" s="14"/>
      <x:c r="L10" s="11"/>
    </x:row>
    <x:row r="11" ht="60" customHeight="1">
      <x:c r="A11" s="11"/>
      <x:c r="B11" s="11"/>
      <x:c r="C11" s="11"/>
      <x:c r="D11" s="11"/>
      <x:c r="E11" s="11"/>
      <x:c r="F11" s="15"/>
      <x:c r="G11" s="11"/>
      <x:c r="H11" s="11"/>
      <x:c r="I11" s="11"/>
      <x:c r="J11" s="11"/>
      <x:c r="K11" s="14"/>
      <x:c r="L11" s="11"/>
    </x:row>
    <x:row r="12" ht="60" customHeight="1">
      <x:c r="A12" s="11"/>
      <x:c r="B12" s="11"/>
      <x:c r="C12" s="11"/>
      <x:c r="D12" s="11"/>
      <x:c r="E12" s="11"/>
      <x:c r="F12" s="15"/>
      <x:c r="G12" s="11"/>
      <x:c r="H12" s="11"/>
      <x:c r="I12" s="11"/>
      <x:c r="J12" s="11"/>
      <x:c r="K12" s="14"/>
      <x:c r="L12" s="11"/>
    </x:row>
    <x:row r="13" ht="60" customHeight="1">
      <x:c r="A13" s="11"/>
      <x:c r="B13" s="11"/>
      <x:c r="C13" s="11"/>
      <x:c r="D13" s="11"/>
      <x:c r="E13" s="11"/>
      <x:c r="F13" s="15"/>
      <x:c r="G13" s="11"/>
      <x:c r="H13" s="11"/>
      <x:c r="I13" s="11"/>
      <x:c r="J13" s="11"/>
      <x:c r="K13" s="14"/>
      <x:c r="L13" s="11"/>
    </x:row>
    <x:row r="14" ht="60" customHeight="1">
      <x:c r="A14" s="11"/>
      <x:c r="B14" s="11"/>
      <x:c r="C14" s="11"/>
      <x:c r="D14" s="11"/>
      <x:c r="E14" s="11"/>
      <x:c r="F14" s="15"/>
      <x:c r="G14" s="11"/>
      <x:c r="H14" s="11"/>
      <x:c r="I14" s="11"/>
      <x:c r="J14" s="11"/>
      <x:c r="K14" s="14"/>
      <x:c r="L14" s="11"/>
    </x:row>
    <x:row r="15" ht="60" customHeight="1">
      <x:c r="A15" s="11"/>
      <x:c r="B15" s="11"/>
      <x:c r="C15" s="11"/>
      <x:c r="D15" s="11"/>
      <x:c r="E15" s="11"/>
      <x:c r="F15" s="15"/>
      <x:c r="G15" s="11"/>
      <x:c r="H15" s="11"/>
      <x:c r="I15" s="11"/>
      <x:c r="J15" s="11"/>
      <x:c r="K15" s="14"/>
      <x:c r="L15" s="11"/>
    </x:row>
    <x:row r="16" ht="60" customHeight="1">
      <x:c r="A16" s="11"/>
      <x:c r="B16" s="11"/>
      <x:c r="C16" s="11"/>
      <x:c r="D16" s="11"/>
      <x:c r="E16" s="11"/>
      <x:c r="F16" s="15"/>
      <x:c r="G16" s="11"/>
      <x:c r="H16" s="11"/>
      <x:c r="I16" s="11"/>
      <x:c r="J16" s="11"/>
      <x:c r="K16" s="14"/>
      <x:c r="L16" s="11"/>
    </x:row>
    <x:row r="17" ht="60" customHeight="1">
      <x:c r="A17" s="11"/>
      <x:c r="B17" s="11"/>
      <x:c r="C17" s="11"/>
      <x:c r="D17" s="11"/>
      <x:c r="E17" s="11"/>
      <x:c r="F17" s="15"/>
      <x:c r="G17" s="11"/>
      <x:c r="H17" s="11"/>
      <x:c r="I17" s="11"/>
      <x:c r="J17" s="11"/>
      <x:c r="K17" s="14"/>
      <x:c r="L17" s="11"/>
    </x:row>
    <x:row r="18" ht="60" customHeight="1">
      <x:c r="A18" s="11"/>
      <x:c r="B18" s="11"/>
      <x:c r="C18" s="11"/>
      <x:c r="D18" s="11"/>
      <x:c r="E18" s="11"/>
      <x:c r="F18" s="15"/>
      <x:c r="G18" s="11"/>
      <x:c r="H18" s="11"/>
      <x:c r="I18" s="11"/>
      <x:c r="J18" s="11"/>
      <x:c r="K18" s="14"/>
      <x:c r="L18" s="11"/>
    </x:row>
    <x:row r="19" ht="60" customHeight="1">
      <x:c r="A19" s="11"/>
      <x:c r="B19" s="11"/>
      <x:c r="C19" s="11"/>
      <x:c r="D19" s="11"/>
      <x:c r="E19" s="11"/>
      <x:c r="F19" s="15"/>
      <x:c r="G19" s="11"/>
      <x:c r="H19" s="11"/>
      <x:c r="I19" s="11"/>
      <x:c r="J19" s="11"/>
      <x:c r="K19" s="14"/>
      <x:c r="L19" s="11"/>
    </x:row>
    <x:row r="20" ht="60" customHeight="1">
      <x:c r="A20" s="11"/>
      <x:c r="B20" s="11"/>
      <x:c r="C20" s="11"/>
      <x:c r="D20" s="11"/>
      <x:c r="E20" s="11"/>
      <x:c r="F20" s="15"/>
      <x:c r="G20" s="11"/>
      <x:c r="H20" s="11"/>
      <x:c r="I20" s="11"/>
      <x:c r="J20" s="11"/>
      <x:c r="K20" s="14"/>
      <x:c r="L20" s="11"/>
    </x:row>
    <x:row r="21" ht="60" customHeight="1">
      <x:c r="A21" s="11"/>
      <x:c r="B21" s="11"/>
      <x:c r="C21" s="11"/>
      <x:c r="D21" s="11"/>
      <x:c r="E21" s="11"/>
      <x:c r="F21" s="15"/>
      <x:c r="G21" s="11"/>
      <x:c r="H21" s="11"/>
      <x:c r="I21" s="11"/>
      <x:c r="J21" s="11"/>
      <x:c r="K21" s="14"/>
      <x:c r="L21" s="11"/>
    </x:row>
    <x:row r="22" ht="60" customHeight="1">
      <x:c r="A22" s="11"/>
      <x:c r="B22" s="11"/>
      <x:c r="C22" s="11"/>
      <x:c r="D22" s="11"/>
      <x:c r="E22" s="11"/>
      <x:c r="F22" s="15"/>
      <x:c r="G22" s="11"/>
      <x:c r="H22" s="11"/>
      <x:c r="I22" s="11"/>
      <x:c r="J22" s="11"/>
      <x:c r="K22" s="14"/>
      <x:c r="L22" s="11"/>
    </x:row>
    <x:row r="23" ht="60" customHeight="1">
      <x:c r="A23" s="11"/>
      <x:c r="B23" s="11"/>
      <x:c r="C23" s="11"/>
      <x:c r="D23" s="11"/>
      <x:c r="E23" s="11"/>
      <x:c r="F23" s="15"/>
      <x:c r="G23" s="11"/>
      <x:c r="H23" s="11"/>
      <x:c r="I23" s="11"/>
      <x:c r="J23" s="11"/>
      <x:c r="K23" s="14"/>
      <x:c r="L23" s="11"/>
    </x:row>
    <x:row r="24" ht="60" customHeight="1">
      <x:c r="A24" s="11"/>
      <x:c r="B24" s="11"/>
      <x:c r="C24" s="11"/>
      <x:c r="D24" s="11"/>
      <x:c r="E24" s="11"/>
      <x:c r="F24" s="15"/>
      <x:c r="G24" s="11"/>
      <x:c r="H24" s="11"/>
      <x:c r="I24" s="11"/>
      <x:c r="J24" s="11"/>
      <x:c r="K24" s="14"/>
      <x:c r="L24" s="11"/>
    </x:row>
    <x:row r="25" ht="60" customHeight="1">
      <x:c r="A25" s="11"/>
      <x:c r="B25" s="11"/>
      <x:c r="C25" s="11"/>
      <x:c r="D25" s="11"/>
      <x:c r="E25" s="11"/>
      <x:c r="F25" s="15"/>
      <x:c r="G25" s="11"/>
      <x:c r="H25" s="11"/>
      <x:c r="I25" s="11"/>
      <x:c r="J25" s="11"/>
      <x:c r="K25" s="14"/>
      <x:c r="L25" s="11"/>
    </x:row>
    <x:row r="26" ht="60" customHeight="1">
      <x:c r="A26" s="11"/>
      <x:c r="B26" s="11"/>
      <x:c r="C26" s="11"/>
      <x:c r="D26" s="11"/>
      <x:c r="E26" s="11"/>
      <x:c r="F26" s="15"/>
      <x:c r="G26" s="11"/>
      <x:c r="H26" s="11"/>
      <x:c r="I26" s="11"/>
      <x:c r="J26" s="11"/>
      <x:c r="K26" s="14"/>
      <x:c r="L26" s="11"/>
    </x:row>
    <x:row r="27" ht="60" customHeight="1">
      <x:c r="A27" s="11"/>
      <x:c r="B27" s="11"/>
      <x:c r="C27" s="11"/>
      <x:c r="D27" s="11"/>
      <x:c r="E27" s="11"/>
      <x:c r="F27" s="15"/>
      <x:c r="G27" s="11"/>
      <x:c r="H27" s="11"/>
      <x:c r="I27" s="11"/>
      <x:c r="J27" s="11"/>
      <x:c r="K27" s="14"/>
      <x:c r="L27" s="11"/>
    </x:row>
    <x:row r="28" ht="60" customHeight="1">
      <x:c r="A28" s="11"/>
      <x:c r="B28" s="11"/>
      <x:c r="C28" s="11"/>
      <x:c r="D28" s="11"/>
      <x:c r="E28" s="11"/>
      <x:c r="F28" s="15"/>
      <x:c r="G28" s="11"/>
      <x:c r="H28" s="11"/>
      <x:c r="I28" s="11"/>
      <x:c r="J28" s="11"/>
      <x:c r="K28" s="14"/>
      <x:c r="L28" s="11"/>
    </x:row>
    <x:row r="29" ht="60" customHeight="1">
      <x:c r="A29" s="11"/>
      <x:c r="B29" s="11"/>
      <x:c r="C29" s="11"/>
      <x:c r="D29" s="11"/>
      <x:c r="E29" s="11"/>
      <x:c r="F29" s="15"/>
      <x:c r="G29" s="11"/>
      <x:c r="H29" s="11"/>
      <x:c r="I29" s="11"/>
      <x:c r="J29" s="11"/>
      <x:c r="K29" s="14"/>
      <x:c r="L29" s="11"/>
    </x:row>
    <x:row r="30" ht="60" customHeight="1">
      <x:c r="A30" s="11"/>
      <x:c r="B30" s="11"/>
      <x:c r="C30" s="11"/>
      <x:c r="D30" s="11"/>
      <x:c r="E30" s="11"/>
      <x:c r="F30" s="15"/>
      <x:c r="G30" s="11"/>
      <x:c r="H30" s="11"/>
      <x:c r="I30" s="11"/>
      <x:c r="J30" s="11"/>
      <x:c r="K30" s="14"/>
      <x:c r="L30" s="11"/>
    </x:row>
    <x:row r="31" ht="60" customHeight="1">
      <x:c r="A31" s="11"/>
      <x:c r="B31" s="11"/>
      <x:c r="C31" s="11"/>
      <x:c r="D31" s="11"/>
      <x:c r="E31" s="11"/>
      <x:c r="F31" s="15"/>
      <x:c r="G31" s="11"/>
      <x:c r="H31" s="11"/>
      <x:c r="I31" s="11"/>
      <x:c r="J31" s="11"/>
      <x:c r="K31" s="14"/>
      <x:c r="L31" s="11"/>
    </x:row>
    <x:row r="32" ht="60" customHeight="1">
      <x:c r="A32" s="11"/>
      <x:c r="B32" s="11"/>
      <x:c r="C32" s="11"/>
      <x:c r="D32" s="11"/>
      <x:c r="E32" s="11"/>
      <x:c r="F32" s="15"/>
      <x:c r="G32" s="11"/>
      <x:c r="H32" s="11"/>
      <x:c r="I32" s="11"/>
      <x:c r="J32" s="11"/>
      <x:c r="K32" s="14"/>
      <x:c r="L32" s="11"/>
    </x:row>
    <x:row r="33" ht="60" customHeight="1">
      <x:c r="A33" s="11"/>
      <x:c r="B33" s="11"/>
      <x:c r="C33" s="11"/>
      <x:c r="D33" s="11"/>
      <x:c r="E33" s="11"/>
      <x:c r="F33" s="15"/>
      <x:c r="G33" s="11"/>
      <x:c r="H33" s="11"/>
      <x:c r="I33" s="11"/>
      <x:c r="J33" s="11"/>
      <x:c r="K33" s="14"/>
      <x:c r="L33" s="11"/>
    </x:row>
    <x:row r="34" ht="60" customHeight="1">
      <x:c r="A34" s="11"/>
      <x:c r="B34" s="11"/>
      <x:c r="C34" s="11"/>
      <x:c r="D34" s="11"/>
      <x:c r="E34" s="11"/>
      <x:c r="F34" s="15"/>
      <x:c r="G34" s="11"/>
      <x:c r="H34" s="11"/>
      <x:c r="I34" s="11"/>
      <x:c r="J34" s="11"/>
      <x:c r="K34" s="14"/>
      <x:c r="L34" s="11"/>
    </x:row>
    <x:row r="35" ht="60" customHeight="1">
      <x:c r="A35" s="11"/>
      <x:c r="B35" s="11"/>
      <x:c r="C35" s="11"/>
      <x:c r="D35" s="11"/>
      <x:c r="E35" s="11"/>
      <x:c r="F35" s="15"/>
      <x:c r="G35" s="11"/>
      <x:c r="H35" s="11"/>
      <x:c r="I35" s="11"/>
      <x:c r="J35" s="11"/>
      <x:c r="K35" s="14"/>
      <x:c r="L35" s="11"/>
    </x:row>
    <x:row r="36" ht="60" customHeight="1">
      <x:c r="A36" s="11"/>
      <x:c r="B36" s="11"/>
      <x:c r="C36" s="11"/>
      <x:c r="D36" s="11"/>
      <x:c r="E36" s="11"/>
      <x:c r="F36" s="15"/>
      <x:c r="G36" s="11"/>
      <x:c r="H36" s="11"/>
      <x:c r="I36" s="11"/>
      <x:c r="J36" s="11"/>
      <x:c r="K36" s="14"/>
      <x:c r="L36" s="11"/>
    </x:row>
    <x:row r="37" ht="60" customHeight="1">
      <x:c r="A37" s="11"/>
      <x:c r="B37" s="11"/>
      <x:c r="C37" s="11"/>
      <x:c r="D37" s="11"/>
      <x:c r="E37" s="11"/>
      <x:c r="F37" s="15"/>
      <x:c r="G37" s="11"/>
      <x:c r="H37" s="11"/>
      <x:c r="I37" s="11"/>
      <x:c r="J37" s="11"/>
      <x:c r="K37" s="14"/>
      <x:c r="L37" s="11"/>
    </x:row>
    <x:row r="38" ht="60" customHeight="1">
      <x:c r="A38" s="11"/>
      <x:c r="B38" s="11"/>
      <x:c r="C38" s="11"/>
      <x:c r="D38" s="11"/>
      <x:c r="E38" s="11"/>
      <x:c r="F38" s="15"/>
      <x:c r="G38" s="11"/>
      <x:c r="H38" s="11"/>
      <x:c r="I38" s="11"/>
      <x:c r="J38" s="11"/>
      <x:c r="K38" s="14"/>
      <x:c r="L38" s="11"/>
    </x:row>
    <x:row r="39" ht="60" customHeight="1">
      <x:c r="A39" s="11"/>
      <x:c r="B39" s="11"/>
      <x:c r="C39" s="11"/>
      <x:c r="D39" s="11"/>
      <x:c r="E39" s="11"/>
      <x:c r="F39" s="15"/>
      <x:c r="G39" s="11"/>
      <x:c r="H39" s="11"/>
      <x:c r="I39" s="11"/>
      <x:c r="J39" s="11"/>
      <x:c r="K39" s="14"/>
      <x:c r="L39" s="11"/>
    </x:row>
    <x:row r="40" ht="60" customHeight="1">
      <x:c r="A40" s="11"/>
      <x:c r="B40" s="11"/>
      <x:c r="C40" s="11"/>
      <x:c r="D40" s="11"/>
      <x:c r="E40" s="11"/>
      <x:c r="F40" s="15"/>
      <x:c r="G40" s="11"/>
      <x:c r="H40" s="11"/>
      <x:c r="I40" s="11"/>
      <x:c r="J40" s="11"/>
      <x:c r="K40" s="14"/>
      <x:c r="L40" s="11"/>
    </x:row>
    <x:row r="41" ht="60" customHeight="1">
      <x:c r="A41" s="11"/>
      <x:c r="B41" s="11"/>
      <x:c r="C41" s="11"/>
      <x:c r="D41" s="11"/>
      <x:c r="E41" s="11"/>
      <x:c r="F41" s="15"/>
      <x:c r="G41" s="11"/>
      <x:c r="H41" s="11"/>
      <x:c r="I41" s="11"/>
      <x:c r="J41" s="11"/>
      <x:c r="K41" s="14"/>
      <x:c r="L41" s="11"/>
    </x:row>
    <x:row r="42" ht="60" customHeight="1">
      <x:c r="A42" s="11"/>
      <x:c r="B42" s="11"/>
      <x:c r="C42" s="11"/>
      <x:c r="D42" s="11"/>
      <x:c r="E42" s="11"/>
      <x:c r="F42" s="15"/>
      <x:c r="G42" s="11"/>
      <x:c r="H42" s="11"/>
      <x:c r="I42" s="11"/>
      <x:c r="J42" s="11"/>
      <x:c r="K42" s="14"/>
      <x:c r="L42" s="11"/>
    </x:row>
    <x:row r="43" ht="60" customHeight="1">
      <x:c r="A43" s="11"/>
      <x:c r="B43" s="11"/>
      <x:c r="C43" s="11"/>
      <x:c r="D43" s="11"/>
      <x:c r="E43" s="11"/>
      <x:c r="F43" s="15"/>
      <x:c r="G43" s="11"/>
      <x:c r="H43" s="11"/>
      <x:c r="I43" s="11"/>
      <x:c r="J43" s="11"/>
      <x:c r="K43" s="14"/>
      <x:c r="L43" s="11"/>
    </x:row>
    <x:row r="44" ht="60" customHeight="1">
      <x:c r="A44" s="11"/>
      <x:c r="B44" s="11"/>
      <x:c r="C44" s="11"/>
      <x:c r="D44" s="11"/>
      <x:c r="E44" s="11"/>
      <x:c r="F44" s="15"/>
      <x:c r="G44" s="11"/>
      <x:c r="H44" s="11"/>
      <x:c r="I44" s="11"/>
      <x:c r="J44" s="11"/>
      <x:c r="K44" s="14"/>
      <x:c r="L44" s="11"/>
    </x:row>
    <x:row r="45" ht="60" customHeight="1">
      <x:c r="A45" s="11"/>
      <x:c r="B45" s="11"/>
      <x:c r="C45" s="11"/>
      <x:c r="D45" s="11"/>
      <x:c r="E45" s="11"/>
      <x:c r="F45" s="15"/>
      <x:c r="G45" s="11"/>
      <x:c r="H45" s="11"/>
      <x:c r="I45" s="11"/>
      <x:c r="J45" s="11"/>
      <x:c r="K45" s="14"/>
      <x:c r="L45" s="11"/>
    </x:row>
    <x:row r="46" ht="60" customHeight="1">
      <x:c r="A46" s="11"/>
      <x:c r="B46" s="11"/>
      <x:c r="C46" s="11"/>
      <x:c r="D46" s="11"/>
      <x:c r="E46" s="11"/>
      <x:c r="F46" s="15"/>
      <x:c r="G46" s="11"/>
      <x:c r="H46" s="11"/>
      <x:c r="I46" s="11"/>
      <x:c r="J46" s="11"/>
      <x:c r="K46" s="14"/>
      <x:c r="L46" s="11"/>
    </x:row>
    <x:row r="47" ht="60" customHeight="1">
      <x:c r="A47" s="11"/>
      <x:c r="B47" s="11"/>
      <x:c r="C47" s="11"/>
      <x:c r="D47" s="11"/>
      <x:c r="E47" s="11"/>
      <x:c r="F47" s="15"/>
      <x:c r="G47" s="11"/>
      <x:c r="H47" s="11"/>
      <x:c r="I47" s="11"/>
      <x:c r="J47" s="11"/>
      <x:c r="K47" s="14"/>
      <x:c r="L47" s="11"/>
    </x:row>
    <x:row r="48" ht="60" customHeight="1">
      <x:c r="A48" s="11"/>
      <x:c r="B48" s="11"/>
      <x:c r="C48" s="11"/>
      <x:c r="D48" s="11"/>
      <x:c r="E48" s="11"/>
      <x:c r="F48" s="15"/>
      <x:c r="G48" s="11"/>
      <x:c r="H48" s="11"/>
      <x:c r="I48" s="11"/>
      <x:c r="J48" s="11"/>
      <x:c r="K48" s="14"/>
      <x:c r="L48" s="11"/>
    </x:row>
    <x:row r="49" ht="60" customHeight="1">
      <x:c r="A49" s="11"/>
      <x:c r="B49" s="11"/>
      <x:c r="C49" s="11"/>
      <x:c r="D49" s="11"/>
      <x:c r="E49" s="11"/>
      <x:c r="F49" s="15"/>
      <x:c r="G49" s="11"/>
      <x:c r="H49" s="11"/>
      <x:c r="I49" s="11"/>
      <x:c r="J49" s="11"/>
      <x:c r="K49" s="14"/>
      <x:c r="L49" s="11"/>
    </x:row>
    <x:row r="50" ht="60" customHeight="1">
      <x:c r="A50" s="11"/>
      <x:c r="B50" s="11"/>
      <x:c r="C50" s="11"/>
      <x:c r="D50" s="11"/>
      <x:c r="E50" s="11"/>
      <x:c r="F50" s="15"/>
      <x:c r="G50" s="11"/>
      <x:c r="H50" s="11"/>
      <x:c r="I50" s="11"/>
      <x:c r="J50" s="11"/>
      <x:c r="K50" s="14"/>
      <x:c r="L50" s="11"/>
    </x:row>
    <x:row r="51" ht="60" customHeight="1">
      <x:c r="A51" s="11"/>
      <x:c r="B51" s="11"/>
      <x:c r="C51" s="11"/>
      <x:c r="D51" s="11"/>
      <x:c r="E51" s="11"/>
      <x:c r="F51" s="15"/>
      <x:c r="G51" s="11"/>
      <x:c r="H51" s="11"/>
      <x:c r="I51" s="11"/>
      <x:c r="J51" s="11"/>
      <x:c r="K51" s="14"/>
      <x:c r="L51" s="11"/>
    </x:row>
    <x:row r="52" ht="60" customHeight="1">
      <x:c r="A52" s="11"/>
      <x:c r="B52" s="11"/>
      <x:c r="C52" s="11"/>
      <x:c r="D52" s="11"/>
      <x:c r="E52" s="11"/>
      <x:c r="F52" s="15"/>
      <x:c r="G52" s="11"/>
      <x:c r="H52" s="11"/>
      <x:c r="I52" s="11"/>
      <x:c r="J52" s="11"/>
      <x:c r="K52" s="14"/>
      <x:c r="L52" s="11"/>
    </x:row>
    <x:row r="53" ht="60" customHeight="1">
      <x:c r="A53" s="11"/>
      <x:c r="B53" s="11"/>
      <x:c r="C53" s="11"/>
      <x:c r="D53" s="11"/>
      <x:c r="E53" s="11"/>
      <x:c r="F53" s="15"/>
      <x:c r="G53" s="11"/>
      <x:c r="H53" s="11"/>
      <x:c r="I53" s="11"/>
      <x:c r="J53" s="11"/>
      <x:c r="K53" s="14"/>
      <x:c r="L53" s="11"/>
    </x:row>
    <x:row r="54" ht="60" customHeight="1">
      <x:c r="A54" s="11"/>
      <x:c r="B54" s="11"/>
      <x:c r="C54" s="11"/>
      <x:c r="D54" s="11"/>
      <x:c r="E54" s="11"/>
      <x:c r="F54" s="15"/>
      <x:c r="G54" s="11"/>
      <x:c r="H54" s="11"/>
      <x:c r="I54" s="11"/>
      <x:c r="J54" s="11"/>
      <x:c r="K54" s="14"/>
      <x:c r="L54" s="11"/>
    </x:row>
    <x:row r="55" ht="60" customHeight="1">
      <x:c r="A55" s="11"/>
      <x:c r="B55" s="11"/>
      <x:c r="C55" s="11"/>
      <x:c r="D55" s="11"/>
      <x:c r="E55" s="11"/>
      <x:c r="F55" s="15"/>
      <x:c r="G55" s="11"/>
      <x:c r="H55" s="11"/>
      <x:c r="I55" s="11"/>
      <x:c r="J55" s="11"/>
      <x:c r="K55" s="14"/>
      <x:c r="L55" s="11"/>
    </x:row>
    <x:row r="56" ht="60" customHeight="1">
      <x:c r="A56" s="11"/>
      <x:c r="B56" s="11"/>
      <x:c r="C56" s="11"/>
      <x:c r="D56" s="11"/>
      <x:c r="E56" s="11"/>
      <x:c r="F56" s="15"/>
      <x:c r="G56" s="11"/>
      <x:c r="H56" s="11"/>
      <x:c r="I56" s="11"/>
      <x:c r="J56" s="11"/>
      <x:c r="K56" s="14"/>
      <x:c r="L56" s="11"/>
    </x:row>
    <x:row r="57" ht="60" customHeight="1">
      <x:c r="A57" s="11"/>
      <x:c r="B57" s="11"/>
      <x:c r="C57" s="11"/>
      <x:c r="D57" s="11"/>
      <x:c r="E57" s="11"/>
      <x:c r="F57" s="15"/>
      <x:c r="G57" s="11"/>
      <x:c r="H57" s="11"/>
      <x:c r="I57" s="11"/>
      <x:c r="J57" s="11"/>
      <x:c r="K57" s="14"/>
      <x:c r="L57" s="11"/>
    </x:row>
    <x:row r="58" ht="60" customHeight="1">
      <x:c r="A58" s="11"/>
      <x:c r="B58" s="11"/>
      <x:c r="C58" s="11"/>
      <x:c r="D58" s="11"/>
      <x:c r="E58" s="11"/>
      <x:c r="F58" s="15"/>
      <x:c r="G58" s="11"/>
      <x:c r="H58" s="11"/>
      <x:c r="I58" s="11"/>
      <x:c r="J58" s="11"/>
      <x:c r="K58" s="14"/>
      <x:c r="L58" s="11"/>
    </x:row>
    <x:row r="59" ht="60" customHeight="1">
      <x:c r="A59" s="11"/>
      <x:c r="B59" s="11"/>
      <x:c r="C59" s="11"/>
      <x:c r="D59" s="11"/>
      <x:c r="E59" s="11"/>
      <x:c r="F59" s="15"/>
      <x:c r="G59" s="11"/>
      <x:c r="H59" s="11"/>
      <x:c r="I59" s="11"/>
      <x:c r="J59" s="11"/>
      <x:c r="K59" s="14"/>
      <x:c r="L59" s="11"/>
    </x:row>
    <x:row r="60" ht="60" customHeight="1">
      <x:c r="A60" s="11"/>
      <x:c r="B60" s="11"/>
      <x:c r="C60" s="11"/>
      <x:c r="D60" s="11"/>
      <x:c r="E60" s="11"/>
      <x:c r="F60" s="15"/>
      <x:c r="G60" s="11"/>
      <x:c r="H60" s="11"/>
      <x:c r="I60" s="11"/>
      <x:c r="J60" s="11"/>
      <x:c r="K60" s="14"/>
      <x:c r="L60" s="11"/>
    </x:row>
    <x:row r="61" ht="60" customHeight="1">
      <x:c r="A61" s="11"/>
      <x:c r="B61" s="11"/>
      <x:c r="C61" s="11"/>
      <x:c r="D61" s="11"/>
      <x:c r="E61" s="11"/>
      <x:c r="F61" s="15"/>
      <x:c r="G61" s="11"/>
      <x:c r="H61" s="11"/>
      <x:c r="I61" s="11"/>
      <x:c r="J61" s="11"/>
      <x:c r="K61" s="14"/>
      <x:c r="L61" s="11"/>
    </x:row>
    <x:row r="62" ht="60" customHeight="1">
      <x:c r="A62" s="11"/>
      <x:c r="B62" s="11"/>
      <x:c r="C62" s="11"/>
      <x:c r="D62" s="11"/>
      <x:c r="E62" s="11"/>
      <x:c r="F62" s="15"/>
      <x:c r="G62" s="11"/>
      <x:c r="H62" s="11"/>
      <x:c r="I62" s="11"/>
      <x:c r="J62" s="11"/>
      <x:c r="K62" s="14"/>
      <x:c r="L62" s="11"/>
    </x:row>
    <x:row r="63" ht="60" customHeight="1">
      <x:c r="A63" s="11"/>
      <x:c r="B63" s="11"/>
      <x:c r="C63" s="11"/>
      <x:c r="D63" s="11"/>
      <x:c r="E63" s="11"/>
      <x:c r="F63" s="15"/>
      <x:c r="G63" s="11"/>
      <x:c r="H63" s="11"/>
      <x:c r="I63" s="11"/>
      <x:c r="J63" s="11"/>
      <x:c r="K63" s="14"/>
      <x:c r="L63" s="11"/>
    </x:row>
    <x:row r="64" ht="60" customHeight="1">
      <x:c r="A64" s="11"/>
      <x:c r="B64" s="11"/>
      <x:c r="C64" s="11"/>
      <x:c r="D64" s="11"/>
      <x:c r="E64" s="11"/>
      <x:c r="F64" s="15"/>
      <x:c r="G64" s="11"/>
      <x:c r="H64" s="11"/>
      <x:c r="I64" s="11"/>
      <x:c r="J64" s="11"/>
      <x:c r="K64" s="14"/>
      <x:c r="L64" s="11"/>
    </x:row>
    <x:row r="65" ht="60" customHeight="1">
      <x:c r="A65" s="11"/>
      <x:c r="B65" s="11"/>
      <x:c r="C65" s="11"/>
      <x:c r="D65" s="11"/>
      <x:c r="E65" s="11"/>
      <x:c r="F65" s="15"/>
      <x:c r="G65" s="11"/>
      <x:c r="H65" s="11"/>
      <x:c r="I65" s="11"/>
      <x:c r="J65" s="11"/>
      <x:c r="K65" s="14"/>
      <x:c r="L65" s="11"/>
    </x:row>
    <x:row r="66" ht="60" customHeight="1">
      <x:c r="A66" s="11"/>
      <x:c r="B66" s="11"/>
      <x:c r="C66" s="11"/>
      <x:c r="D66" s="11"/>
      <x:c r="E66" s="11"/>
      <x:c r="F66" s="15"/>
      <x:c r="G66" s="11"/>
      <x:c r="H66" s="11"/>
      <x:c r="I66" s="11"/>
      <x:c r="J66" s="11"/>
      <x:c r="K66" s="14"/>
      <x:c r="L66" s="11"/>
    </x:row>
    <x:row r="67" ht="60" customHeight="1">
      <x:c r="A67" s="11"/>
      <x:c r="B67" s="11"/>
      <x:c r="C67" s="11"/>
      <x:c r="D67" s="11"/>
      <x:c r="E67" s="11"/>
      <x:c r="F67" s="15"/>
      <x:c r="G67" s="11"/>
      <x:c r="H67" s="11"/>
      <x:c r="I67" s="11"/>
      <x:c r="J67" s="11"/>
      <x:c r="K67" s="14"/>
      <x:c r="L67" s="11"/>
    </x:row>
    <x:row r="68" ht="60" customHeight="1">
      <x:c r="A68" s="11"/>
      <x:c r="B68" s="11"/>
      <x:c r="C68" s="11"/>
      <x:c r="D68" s="11"/>
      <x:c r="E68" s="11"/>
      <x:c r="F68" s="15"/>
      <x:c r="G68" s="11"/>
      <x:c r="H68" s="11"/>
      <x:c r="I68" s="11"/>
      <x:c r="J68" s="11"/>
      <x:c r="K68" s="14"/>
      <x:c r="L68" s="11"/>
    </x:row>
    <x:row r="69" ht="60" customHeight="1">
      <x:c r="A69" s="11"/>
      <x:c r="B69" s="11"/>
      <x:c r="C69" s="11"/>
      <x:c r="D69" s="11"/>
      <x:c r="E69" s="11"/>
      <x:c r="F69" s="15"/>
      <x:c r="G69" s="11"/>
      <x:c r="H69" s="11"/>
      <x:c r="I69" s="11"/>
      <x:c r="J69" s="11"/>
      <x:c r="K69" s="14"/>
      <x:c r="L69" s="11"/>
    </x:row>
    <x:row r="70" ht="60" customHeight="1">
      <x:c r="A70" s="11"/>
      <x:c r="B70" s="11"/>
      <x:c r="C70" s="11"/>
      <x:c r="D70" s="11"/>
      <x:c r="E70" s="11"/>
      <x:c r="F70" s="15"/>
      <x:c r="G70" s="11"/>
      <x:c r="H70" s="11"/>
      <x:c r="I70" s="11"/>
      <x:c r="J70" s="11"/>
      <x:c r="K70" s="14"/>
      <x:c r="L70" s="11"/>
    </x:row>
    <x:row r="71" ht="60" customHeight="1">
      <x:c r="A71" s="11"/>
      <x:c r="B71" s="11"/>
      <x:c r="C71" s="11"/>
      <x:c r="D71" s="11"/>
      <x:c r="E71" s="11"/>
      <x:c r="F71" s="15"/>
      <x:c r="G71" s="11"/>
      <x:c r="H71" s="11"/>
      <x:c r="I71" s="11"/>
      <x:c r="J71" s="11"/>
      <x:c r="K71" s="14"/>
      <x:c r="L71" s="11"/>
    </x:row>
    <x:row r="72" ht="60" customHeight="1">
      <x:c r="A72" s="11"/>
      <x:c r="B72" s="11"/>
      <x:c r="C72" s="11"/>
      <x:c r="D72" s="11"/>
      <x:c r="E72" s="11"/>
      <x:c r="F72" s="15"/>
      <x:c r="G72" s="11"/>
      <x:c r="H72" s="11"/>
      <x:c r="I72" s="11"/>
      <x:c r="J72" s="11"/>
      <x:c r="K72" s="14"/>
      <x:c r="L72" s="11"/>
    </x:row>
    <x:row r="73" ht="60" customHeight="1">
      <x:c r="A73" s="11"/>
      <x:c r="B73" s="11"/>
      <x:c r="C73" s="11"/>
      <x:c r="D73" s="11"/>
      <x:c r="E73" s="11"/>
      <x:c r="F73" s="15"/>
      <x:c r="G73" s="11"/>
      <x:c r="H73" s="11"/>
      <x:c r="I73" s="11"/>
      <x:c r="J73" s="11"/>
      <x:c r="K73" s="14"/>
      <x:c r="L73" s="11"/>
    </x:row>
    <x:row r="74" ht="60" customHeight="1">
      <x:c r="A74" s="11"/>
      <x:c r="B74" s="11"/>
      <x:c r="C74" s="11"/>
      <x:c r="D74" s="11"/>
      <x:c r="E74" s="11"/>
      <x:c r="F74" s="15"/>
      <x:c r="G74" s="11"/>
      <x:c r="H74" s="11"/>
      <x:c r="I74" s="11"/>
      <x:c r="J74" s="11"/>
      <x:c r="K74" s="14"/>
      <x:c r="L74" s="11"/>
    </x:row>
    <x:row r="75" ht="60" customHeight="1">
      <x:c r="A75" s="11"/>
      <x:c r="B75" s="11"/>
      <x:c r="C75" s="11"/>
      <x:c r="D75" s="11"/>
      <x:c r="E75" s="11"/>
      <x:c r="F75" s="15"/>
      <x:c r="G75" s="11"/>
      <x:c r="H75" s="11"/>
      <x:c r="I75" s="11"/>
      <x:c r="J75" s="11"/>
      <x:c r="K75" s="14"/>
      <x:c r="L75" s="11"/>
    </x:row>
    <x:row r="76" ht="60" customHeight="1">
      <x:c r="A76" s="11"/>
      <x:c r="B76" s="11"/>
      <x:c r="C76" s="11"/>
      <x:c r="D76" s="11"/>
      <x:c r="E76" s="11"/>
      <x:c r="F76" s="15"/>
      <x:c r="G76" s="11"/>
      <x:c r="H76" s="11"/>
      <x:c r="I76" s="11"/>
      <x:c r="J76" s="11"/>
      <x:c r="K76" s="14"/>
      <x:c r="L76" s="11"/>
    </x:row>
    <x:row r="77" ht="60" customHeight="1">
      <x:c r="A77" s="11"/>
      <x:c r="B77" s="11"/>
      <x:c r="C77" s="11"/>
      <x:c r="D77" s="11"/>
      <x:c r="E77" s="11"/>
      <x:c r="F77" s="15"/>
      <x:c r="G77" s="11"/>
      <x:c r="H77" s="11"/>
      <x:c r="I77" s="11"/>
      <x:c r="J77" s="11"/>
      <x:c r="K77" s="14"/>
      <x:c r="L77" s="11"/>
    </x:row>
    <x:row r="78" ht="60" customHeight="1">
      <x:c r="A78" s="11"/>
      <x:c r="B78" s="11"/>
      <x:c r="C78" s="11"/>
      <x:c r="D78" s="11"/>
      <x:c r="E78" s="11"/>
      <x:c r="F78" s="15"/>
      <x:c r="G78" s="11"/>
      <x:c r="H78" s="11"/>
      <x:c r="I78" s="11"/>
      <x:c r="J78" s="11"/>
      <x:c r="K78" s="14"/>
      <x:c r="L78" s="11"/>
    </x:row>
    <x:row r="79" ht="60" customHeight="1">
      <x:c r="A79" s="11"/>
      <x:c r="B79" s="11"/>
      <x:c r="C79" s="11"/>
      <x:c r="D79" s="11"/>
      <x:c r="E79" s="11"/>
      <x:c r="F79" s="15"/>
      <x:c r="G79" s="11"/>
      <x:c r="H79" s="11"/>
      <x:c r="I79" s="11"/>
      <x:c r="J79" s="11"/>
      <x:c r="K79" s="14"/>
      <x:c r="L79" s="11"/>
    </x:row>
    <x:row r="80" ht="60" customHeight="1">
      <x:c r="A80" s="11"/>
      <x:c r="B80" s="11"/>
      <x:c r="C80" s="11"/>
      <x:c r="D80" s="11"/>
      <x:c r="E80" s="11"/>
      <x:c r="F80" s="15"/>
      <x:c r="G80" s="11"/>
      <x:c r="H80" s="11"/>
      <x:c r="I80" s="11"/>
      <x:c r="J80" s="11"/>
      <x:c r="K80" s="14"/>
      <x:c r="L80" s="11"/>
    </x:row>
    <x:row r="81" ht="60" customHeight="1">
      <x:c r="A81" s="11"/>
      <x:c r="B81" s="11"/>
      <x:c r="C81" s="11"/>
      <x:c r="D81" s="11"/>
      <x:c r="E81" s="11"/>
      <x:c r="F81" s="15"/>
      <x:c r="G81" s="11"/>
      <x:c r="H81" s="11"/>
      <x:c r="I81" s="11"/>
      <x:c r="J81" s="11"/>
      <x:c r="K81" s="14"/>
      <x:c r="L81" s="11"/>
    </x:row>
    <x:row r="82" ht="60" customHeight="1">
      <x:c r="A82" s="11"/>
      <x:c r="B82" s="11"/>
      <x:c r="C82" s="11"/>
      <x:c r="D82" s="11"/>
      <x:c r="E82" s="11"/>
      <x:c r="F82" s="15"/>
      <x:c r="G82" s="11"/>
      <x:c r="H82" s="11"/>
      <x:c r="I82" s="11"/>
      <x:c r="J82" s="11"/>
      <x:c r="K82" s="14"/>
      <x:c r="L82" s="11"/>
    </x:row>
    <x:row r="83" ht="60" customHeight="1">
      <x:c r="A83" s="11"/>
      <x:c r="B83" s="11"/>
      <x:c r="C83" s="11"/>
      <x:c r="D83" s="11"/>
      <x:c r="E83" s="11"/>
      <x:c r="F83" s="15"/>
      <x:c r="G83" s="11"/>
      <x:c r="H83" s="11"/>
      <x:c r="I83" s="11"/>
      <x:c r="J83" s="11"/>
      <x:c r="K83" s="14"/>
      <x:c r="L83" s="11"/>
    </x:row>
    <x:row r="84" ht="60" customHeight="1">
      <x:c r="A84" s="11"/>
      <x:c r="B84" s="11"/>
      <x:c r="C84" s="11"/>
      <x:c r="D84" s="11"/>
      <x:c r="E84" s="11"/>
      <x:c r="F84" s="15"/>
      <x:c r="G84" s="11"/>
      <x:c r="H84" s="11"/>
      <x:c r="I84" s="11"/>
      <x:c r="J84" s="11"/>
      <x:c r="K84" s="14"/>
      <x:c r="L84" s="11"/>
    </x:row>
    <x:row r="85" ht="60" customHeight="1">
      <x:c r="A85" s="11"/>
      <x:c r="B85" s="11"/>
      <x:c r="C85" s="11"/>
      <x:c r="D85" s="11"/>
      <x:c r="E85" s="11"/>
      <x:c r="F85" s="15"/>
      <x:c r="G85" s="11"/>
      <x:c r="H85" s="11"/>
      <x:c r="I85" s="11"/>
      <x:c r="J85" s="11"/>
      <x:c r="K85" s="14"/>
      <x:c r="L85" s="11"/>
    </x:row>
    <x:row r="86" ht="60" customHeight="1">
      <x:c r="A86" s="11"/>
      <x:c r="B86" s="11"/>
      <x:c r="C86" s="11"/>
      <x:c r="D86" s="11"/>
      <x:c r="E86" s="11"/>
      <x:c r="F86" s="15"/>
      <x:c r="G86" s="11"/>
      <x:c r="H86" s="11"/>
      <x:c r="I86" s="11"/>
      <x:c r="J86" s="11"/>
      <x:c r="K86" s="14"/>
      <x:c r="L86" s="11"/>
    </x:row>
    <x:row r="87" ht="60" customHeight="1">
      <x:c r="A87" s="11"/>
      <x:c r="B87" s="11"/>
      <x:c r="C87" s="11"/>
      <x:c r="D87" s="11"/>
      <x:c r="E87" s="11"/>
      <x:c r="F87" s="15"/>
      <x:c r="G87" s="11"/>
      <x:c r="H87" s="11"/>
      <x:c r="I87" s="11"/>
      <x:c r="J87" s="11"/>
      <x:c r="K87" s="14"/>
      <x:c r="L87" s="11"/>
    </x:row>
    <x:row r="88" ht="60" customHeight="1">
      <x:c r="A88" s="11"/>
      <x:c r="B88" s="11"/>
      <x:c r="C88" s="11"/>
      <x:c r="D88" s="11"/>
      <x:c r="E88" s="11"/>
      <x:c r="F88" s="15"/>
      <x:c r="G88" s="11"/>
      <x:c r="H88" s="11"/>
      <x:c r="I88" s="11"/>
      <x:c r="J88" s="11"/>
      <x:c r="K88" s="14"/>
      <x:c r="L88" s="11"/>
    </x:row>
    <x:row r="89" ht="60" customHeight="1">
      <x:c r="A89" s="11"/>
      <x:c r="B89" s="11"/>
      <x:c r="C89" s="11"/>
      <x:c r="D89" s="11"/>
      <x:c r="E89" s="11"/>
      <x:c r="F89" s="15"/>
      <x:c r="G89" s="11"/>
      <x:c r="H89" s="11"/>
      <x:c r="I89" s="11"/>
      <x:c r="J89" s="11"/>
      <x:c r="K89" s="14"/>
      <x:c r="L89" s="11"/>
    </x:row>
    <x:row r="90" ht="60" customHeight="1">
      <x:c r="A90" s="11"/>
      <x:c r="B90" s="11"/>
      <x:c r="C90" s="11"/>
      <x:c r="D90" s="11"/>
      <x:c r="E90" s="11"/>
      <x:c r="F90" s="15"/>
      <x:c r="G90" s="11"/>
      <x:c r="H90" s="11"/>
      <x:c r="I90" s="11"/>
      <x:c r="J90" s="11"/>
      <x:c r="K90" s="14"/>
      <x:c r="L90" s="11"/>
    </x:row>
    <x:row r="91" ht="60" customHeight="1">
      <x:c r="A91" s="11"/>
      <x:c r="B91" s="11"/>
      <x:c r="C91" s="11"/>
      <x:c r="D91" s="11"/>
      <x:c r="E91" s="11"/>
      <x:c r="F91" s="15"/>
      <x:c r="G91" s="11"/>
      <x:c r="H91" s="11"/>
      <x:c r="I91" s="11"/>
      <x:c r="J91" s="11"/>
      <x:c r="K91" s="14"/>
      <x:c r="L91" s="11"/>
    </x:row>
    <x:row r="92" ht="60" customHeight="1">
      <x:c r="A92" s="11"/>
      <x:c r="B92" s="11"/>
      <x:c r="C92" s="11"/>
      <x:c r="D92" s="11"/>
      <x:c r="E92" s="11"/>
      <x:c r="F92" s="15"/>
      <x:c r="G92" s="11"/>
      <x:c r="H92" s="11"/>
      <x:c r="I92" s="11"/>
      <x:c r="J92" s="11"/>
      <x:c r="K92" s="14"/>
      <x:c r="L92" s="11"/>
    </x:row>
    <x:row r="93" ht="60" customHeight="1">
      <x:c r="A93" s="11"/>
      <x:c r="B93" s="11"/>
      <x:c r="C93" s="11"/>
      <x:c r="D93" s="11"/>
      <x:c r="E93" s="11"/>
      <x:c r="F93" s="15"/>
      <x:c r="G93" s="11"/>
      <x:c r="H93" s="11"/>
      <x:c r="I93" s="11"/>
      <x:c r="J93" s="11"/>
      <x:c r="K93" s="14"/>
      <x:c r="L93" s="11"/>
    </x:row>
    <x:row r="94" ht="60" customHeight="1">
      <x:c r="A94" s="11"/>
      <x:c r="B94" s="11"/>
      <x:c r="C94" s="11"/>
      <x:c r="D94" s="11"/>
      <x:c r="E94" s="11"/>
      <x:c r="F94" s="15"/>
      <x:c r="G94" s="11"/>
      <x:c r="H94" s="11"/>
      <x:c r="I94" s="11"/>
      <x:c r="J94" s="11"/>
      <x:c r="K94" s="14"/>
      <x:c r="L94" s="11"/>
    </x:row>
    <x:row r="95" ht="60" customHeight="1">
      <x:c r="A95" s="11"/>
      <x:c r="B95" s="11"/>
      <x:c r="C95" s="11"/>
      <x:c r="D95" s="11"/>
      <x:c r="E95" s="11"/>
      <x:c r="F95" s="15"/>
      <x:c r="G95" s="11"/>
      <x:c r="H95" s="11"/>
      <x:c r="I95" s="11"/>
      <x:c r="J95" s="11"/>
      <x:c r="K95" s="14"/>
      <x:c r="L95" s="11"/>
    </x:row>
    <x:row r="96" ht="60" customHeight="1">
      <x:c r="A96" s="11"/>
      <x:c r="B96" s="11"/>
      <x:c r="C96" s="11"/>
      <x:c r="D96" s="11"/>
      <x:c r="E96" s="11"/>
      <x:c r="F96" s="15"/>
      <x:c r="G96" s="11"/>
      <x:c r="H96" s="11"/>
      <x:c r="I96" s="11"/>
      <x:c r="J96" s="11"/>
      <x:c r="K96" s="14"/>
      <x:c r="L96" s="11"/>
    </x:row>
    <x:row r="97" ht="60" customHeight="1">
      <x:c r="A97" s="11"/>
      <x:c r="B97" s="11"/>
      <x:c r="C97" s="11"/>
      <x:c r="D97" s="11"/>
      <x:c r="E97" s="11"/>
      <x:c r="F97" s="15"/>
      <x:c r="G97" s="11"/>
      <x:c r="H97" s="11"/>
      <x:c r="I97" s="11"/>
      <x:c r="J97" s="11"/>
      <x:c r="K97" s="14"/>
      <x:c r="L97" s="11"/>
    </x:row>
    <x:row r="98" ht="60" customHeight="1">
      <x:c r="A98" s="11"/>
      <x:c r="B98" s="11"/>
      <x:c r="C98" s="11"/>
      <x:c r="D98" s="11"/>
      <x:c r="E98" s="11"/>
      <x:c r="F98" s="15"/>
      <x:c r="G98" s="11"/>
      <x:c r="H98" s="11"/>
      <x:c r="I98" s="11"/>
      <x:c r="J98" s="11"/>
      <x:c r="K98" s="14"/>
      <x:c r="L98" s="11"/>
    </x:row>
    <x:row r="99" ht="60" customHeight="1">
      <x:c r="A99" s="11"/>
      <x:c r="B99" s="11"/>
      <x:c r="C99" s="11"/>
      <x:c r="D99" s="11"/>
      <x:c r="E99" s="11"/>
      <x:c r="F99" s="15"/>
      <x:c r="G99" s="11"/>
      <x:c r="H99" s="11"/>
      <x:c r="I99" s="11"/>
      <x:c r="J99" s="11"/>
      <x:c r="K99" s="14"/>
      <x:c r="L99" s="11"/>
    </x:row>
    <x:row r="100" ht="60" customHeight="1">
      <x:c r="A100" s="11"/>
      <x:c r="B100" s="11"/>
      <x:c r="C100" s="11"/>
      <x:c r="D100" s="11"/>
      <x:c r="E100" s="11"/>
      <x:c r="F100" s="15"/>
      <x:c r="G100" s="11"/>
      <x:c r="H100" s="11"/>
      <x:c r="I100" s="11"/>
      <x:c r="J100" s="11"/>
      <x:c r="K100" s="14"/>
      <x:c r="L100" s="11"/>
    </x:row>
    <x:row r="101" ht="60" customHeight="1">
      <x:c r="A101" s="11"/>
      <x:c r="B101" s="11"/>
      <x:c r="C101" s="11"/>
      <x:c r="D101" s="11"/>
      <x:c r="E101" s="11"/>
      <x:c r="F101" s="15"/>
      <x:c r="G101" s="11"/>
      <x:c r="H101" s="11"/>
      <x:c r="I101" s="11"/>
      <x:c r="J101" s="11"/>
      <x:c r="K101" s="14"/>
      <x:c r="L101" s="11"/>
    </x:row>
    <x:row r="102" ht="60" customHeight="1">
      <x:c r="A102" s="11"/>
      <x:c r="B102" s="11"/>
      <x:c r="C102" s="11"/>
      <x:c r="D102" s="11"/>
      <x:c r="E102" s="11"/>
      <x:c r="F102" s="15"/>
      <x:c r="G102" s="11"/>
      <x:c r="H102" s="11"/>
      <x:c r="I102" s="11"/>
      <x:c r="J102" s="11"/>
      <x:c r="K102" s="14"/>
      <x:c r="L102" s="11"/>
    </x:row>
    <x:row r="103" ht="60" customHeight="1">
      <x:c r="A103" s="11"/>
      <x:c r="B103" s="11"/>
      <x:c r="C103" s="11"/>
      <x:c r="D103" s="11"/>
      <x:c r="E103" s="11"/>
      <x:c r="F103" s="15"/>
      <x:c r="G103" s="11"/>
      <x:c r="H103" s="11"/>
      <x:c r="I103" s="11"/>
      <x:c r="J103" s="11"/>
      <x:c r="K103" s="14"/>
      <x:c r="L103" s="11"/>
    </x:row>
    <x:row r="104" ht="60" customHeight="1">
      <x:c r="A104" s="11"/>
      <x:c r="B104" s="11"/>
      <x:c r="C104" s="11"/>
      <x:c r="D104" s="11"/>
      <x:c r="E104" s="11"/>
      <x:c r="F104" s="15"/>
      <x:c r="G104" s="11"/>
      <x:c r="H104" s="11"/>
      <x:c r="I104" s="11"/>
      <x:c r="J104" s="11"/>
      <x:c r="K104" s="14"/>
      <x:c r="L104" s="11"/>
    </x:row>
    <x:row r="105" ht="60" customHeight="1">
      <x:c r="A105" s="11"/>
      <x:c r="B105" s="11"/>
      <x:c r="C105" s="11"/>
      <x:c r="D105" s="11"/>
      <x:c r="E105" s="11"/>
      <x:c r="F105" s="15"/>
      <x:c r="G105" s="11"/>
      <x:c r="H105" s="11"/>
      <x:c r="I105" s="11"/>
      <x:c r="J105" s="11"/>
      <x:c r="K105" s="14"/>
      <x:c r="L105" s="11"/>
    </x:row>
    <x:row r="106" ht="60" customHeight="1">
      <x:c r="A106" s="11"/>
      <x:c r="B106" s="11"/>
      <x:c r="C106" s="11"/>
      <x:c r="D106" s="11"/>
      <x:c r="E106" s="11"/>
      <x:c r="F106" s="15"/>
      <x:c r="G106" s="11"/>
      <x:c r="H106" s="11"/>
      <x:c r="I106" s="11"/>
      <x:c r="J106" s="11"/>
      <x:c r="K106" s="14"/>
      <x:c r="L106" s="11"/>
    </x:row>
    <x:row r="107" ht="60" customHeight="1">
      <x:c r="A107" s="11"/>
      <x:c r="B107" s="11"/>
      <x:c r="C107" s="11"/>
      <x:c r="D107" s="11"/>
      <x:c r="E107" s="11"/>
      <x:c r="F107" s="15"/>
      <x:c r="G107" s="11"/>
      <x:c r="H107" s="11"/>
      <x:c r="I107" s="11"/>
      <x:c r="J107" s="11"/>
      <x:c r="K107" s="14"/>
      <x:c r="L107" s="11"/>
    </x:row>
    <x:row r="108" ht="60" customHeight="1">
      <x:c r="A108" s="11"/>
      <x:c r="B108" s="11"/>
      <x:c r="C108" s="11"/>
      <x:c r="D108" s="11"/>
      <x:c r="E108" s="11"/>
      <x:c r="F108" s="15"/>
      <x:c r="G108" s="11"/>
      <x:c r="H108" s="11"/>
      <x:c r="I108" s="11"/>
      <x:c r="J108" s="11"/>
      <x:c r="K108" s="14"/>
      <x:c r="L108" s="11"/>
    </x:row>
    <x:row r="109" ht="60" customHeight="1">
      <x:c r="A109" s="11"/>
      <x:c r="B109" s="11"/>
      <x:c r="C109" s="11"/>
      <x:c r="D109" s="11"/>
      <x:c r="E109" s="11"/>
      <x:c r="F109" s="15"/>
      <x:c r="G109" s="11"/>
      <x:c r="H109" s="11"/>
      <x:c r="I109" s="11"/>
      <x:c r="J109" s="11"/>
      <x:c r="K109" s="14"/>
      <x:c r="L109" s="11"/>
    </x:row>
    <x:row r="110" ht="60" customHeight="1">
      <x:c r="A110" s="11"/>
      <x:c r="B110" s="11"/>
      <x:c r="C110" s="11"/>
      <x:c r="D110" s="11"/>
      <x:c r="E110" s="11"/>
      <x:c r="F110" s="15"/>
      <x:c r="G110" s="11"/>
      <x:c r="H110" s="11"/>
      <x:c r="I110" s="11"/>
      <x:c r="J110" s="11"/>
      <x:c r="K110" s="14"/>
      <x:c r="L110" s="11"/>
    </x:row>
    <x:row r="111" ht="60" customHeight="1">
      <x:c r="A111" s="11"/>
      <x:c r="B111" s="11"/>
      <x:c r="C111" s="11"/>
      <x:c r="D111" s="11"/>
      <x:c r="E111" s="11"/>
      <x:c r="F111" s="15"/>
      <x:c r="G111" s="11"/>
      <x:c r="H111" s="11"/>
      <x:c r="I111" s="11"/>
      <x:c r="J111" s="11"/>
      <x:c r="K111" s="14"/>
      <x:c r="L111" s="11"/>
    </x:row>
    <x:row r="112" ht="60" customHeight="1">
      <x:c r="A112" s="11"/>
      <x:c r="B112" s="11"/>
      <x:c r="C112" s="11"/>
      <x:c r="D112" s="11"/>
      <x:c r="E112" s="11"/>
      <x:c r="F112" s="15"/>
      <x:c r="G112" s="11"/>
      <x:c r="H112" s="11"/>
      <x:c r="I112" s="11"/>
      <x:c r="J112" s="11"/>
      <x:c r="K112" s="14"/>
      <x:c r="L112" s="11"/>
    </x:row>
    <x:row r="113" ht="60" customHeight="1">
      <x:c r="A113" s="11"/>
      <x:c r="B113" s="11"/>
      <x:c r="C113" s="11"/>
      <x:c r="D113" s="11"/>
      <x:c r="E113" s="11"/>
      <x:c r="F113" s="15"/>
      <x:c r="G113" s="11"/>
      <x:c r="H113" s="11"/>
      <x:c r="I113" s="11"/>
      <x:c r="J113" s="11"/>
      <x:c r="K113" s="14"/>
      <x:c r="L113" s="11"/>
    </x:row>
    <x:row r="114" ht="60" customHeight="1">
      <x:c r="A114" s="11"/>
      <x:c r="B114" s="11"/>
      <x:c r="C114" s="11"/>
      <x:c r="D114" s="11"/>
      <x:c r="E114" s="11"/>
      <x:c r="F114" s="15"/>
      <x:c r="G114" s="11"/>
      <x:c r="H114" s="11"/>
      <x:c r="I114" s="11"/>
      <x:c r="J114" s="11"/>
      <x:c r="K114" s="14"/>
      <x:c r="L114" s="11"/>
    </x:row>
    <x:row r="115" ht="60" customHeight="1">
      <x:c r="A115" s="11"/>
      <x:c r="B115" s="11"/>
      <x:c r="C115" s="11"/>
      <x:c r="D115" s="11"/>
      <x:c r="E115" s="11"/>
      <x:c r="F115" s="15"/>
      <x:c r="G115" s="11"/>
      <x:c r="H115" s="11"/>
      <x:c r="I115" s="11"/>
      <x:c r="J115" s="11"/>
      <x:c r="K115" s="14"/>
      <x:c r="L115" s="11"/>
    </x:row>
    <x:row r="116" ht="60" customHeight="1">
      <x:c r="A116" s="11"/>
      <x:c r="B116" s="11"/>
      <x:c r="C116" s="11"/>
      <x:c r="D116" s="11"/>
      <x:c r="E116" s="11"/>
      <x:c r="F116" s="15"/>
      <x:c r="G116" s="11"/>
      <x:c r="H116" s="11"/>
      <x:c r="I116" s="11"/>
      <x:c r="J116" s="11"/>
      <x:c r="K116" s="14"/>
      <x:c r="L116" s="11"/>
    </x:row>
    <x:row r="117" ht="60" customHeight="1">
      <x:c r="A117" s="11"/>
      <x:c r="B117" s="11"/>
      <x:c r="C117" s="11"/>
      <x:c r="D117" s="11"/>
      <x:c r="E117" s="11"/>
      <x:c r="F117" s="15"/>
      <x:c r="G117" s="11"/>
      <x:c r="H117" s="11"/>
      <x:c r="I117" s="11"/>
      <x:c r="J117" s="11"/>
      <x:c r="K117" s="14"/>
      <x:c r="L117" s="11"/>
    </x:row>
    <x:row r="118" ht="60" customHeight="1">
      <x:c r="A118" s="11"/>
      <x:c r="B118" s="11"/>
      <x:c r="C118" s="11"/>
      <x:c r="D118" s="11"/>
      <x:c r="E118" s="11"/>
      <x:c r="F118" s="15"/>
      <x:c r="G118" s="11"/>
      <x:c r="H118" s="11"/>
      <x:c r="I118" s="11"/>
      <x:c r="J118" s="11"/>
      <x:c r="K118" s="14"/>
      <x:c r="L118" s="11"/>
    </x:row>
    <x:row r="119" ht="60" customHeight="1">
      <x:c r="A119" s="11"/>
      <x:c r="B119" s="11"/>
      <x:c r="C119" s="11"/>
      <x:c r="D119" s="11"/>
      <x:c r="E119" s="11"/>
      <x:c r="F119" s="15"/>
      <x:c r="G119" s="11"/>
      <x:c r="H119" s="11"/>
      <x:c r="I119" s="11"/>
      <x:c r="J119" s="11"/>
      <x:c r="K119" s="14"/>
      <x:c r="L119" s="11"/>
    </x:row>
    <x:row r="120" ht="60" customHeight="1">
      <x:c r="A120" s="11"/>
      <x:c r="B120" s="11"/>
      <x:c r="C120" s="11"/>
      <x:c r="D120" s="11"/>
      <x:c r="E120" s="11"/>
      <x:c r="F120" s="15"/>
      <x:c r="G120" s="11"/>
      <x:c r="H120" s="11"/>
      <x:c r="I120" s="11"/>
      <x:c r="J120" s="11"/>
      <x:c r="K120" s="14"/>
      <x:c r="L120" s="11"/>
    </x:row>
    <x:row r="121" ht="60" customHeight="1">
      <x:c r="A121" s="11"/>
      <x:c r="B121" s="11"/>
      <x:c r="C121" s="11"/>
      <x:c r="D121" s="11"/>
      <x:c r="E121" s="11"/>
      <x:c r="F121" s="15"/>
      <x:c r="G121" s="11"/>
      <x:c r="H121" s="11"/>
      <x:c r="I121" s="11"/>
      <x:c r="J121" s="11"/>
      <x:c r="K121" s="14"/>
      <x:c r="L121" s="11"/>
    </x:row>
    <x:row r="122" ht="60" customHeight="1">
      <x:c r="A122" s="11"/>
      <x:c r="B122" s="11"/>
      <x:c r="C122" s="11"/>
      <x:c r="D122" s="11"/>
      <x:c r="E122" s="11"/>
      <x:c r="F122" s="15"/>
      <x:c r="G122" s="11"/>
      <x:c r="H122" s="11"/>
      <x:c r="I122" s="11"/>
      <x:c r="J122" s="11"/>
      <x:c r="K122" s="14"/>
      <x:c r="L122" s="11"/>
    </x:row>
    <x:row r="123" ht="60" customHeight="1">
      <x:c r="A123" s="11"/>
      <x:c r="B123" s="11"/>
      <x:c r="C123" s="11"/>
      <x:c r="D123" s="11"/>
      <x:c r="E123" s="11"/>
      <x:c r="F123" s="15"/>
      <x:c r="G123" s="11"/>
      <x:c r="H123" s="11"/>
      <x:c r="I123" s="11"/>
      <x:c r="J123" s="11"/>
      <x:c r="K123" s="14"/>
      <x:c r="L123" s="11"/>
    </x:row>
    <x:row r="124" ht="60" customHeight="1">
      <x:c r="A124" s="11"/>
      <x:c r="B124" s="11"/>
      <x:c r="C124" s="11"/>
      <x:c r="D124" s="11"/>
      <x:c r="E124" s="11"/>
      <x:c r="F124" s="15"/>
      <x:c r="G124" s="11"/>
      <x:c r="H124" s="11"/>
      <x:c r="I124" s="11"/>
      <x:c r="J124" s="11"/>
      <x:c r="K124" s="14"/>
      <x:c r="L124" s="11"/>
    </x:row>
    <x:row r="125" ht="60" customHeight="1">
      <x:c r="A125" s="11"/>
      <x:c r="B125" s="11"/>
      <x:c r="C125" s="11"/>
      <x:c r="D125" s="11"/>
      <x:c r="E125" s="11"/>
      <x:c r="F125" s="15"/>
      <x:c r="G125" s="11"/>
      <x:c r="H125" s="11"/>
      <x:c r="I125" s="11"/>
      <x:c r="J125" s="11"/>
      <x:c r="K125" s="14"/>
      <x:c r="L125" s="11"/>
    </x:row>
    <x:row r="126" ht="60" customHeight="1">
      <x:c r="A126" s="11"/>
      <x:c r="B126" s="11"/>
      <x:c r="C126" s="11"/>
      <x:c r="D126" s="11"/>
      <x:c r="E126" s="11"/>
      <x:c r="F126" s="15"/>
      <x:c r="G126" s="11"/>
      <x:c r="H126" s="11"/>
      <x:c r="I126" s="11"/>
      <x:c r="J126" s="11"/>
      <x:c r="K126" s="14"/>
      <x:c r="L126" s="11"/>
    </x:row>
    <x:row r="127" ht="60" customHeight="1">
      <x:c r="A127" s="11"/>
      <x:c r="B127" s="11"/>
      <x:c r="C127" s="11"/>
      <x:c r="D127" s="11"/>
      <x:c r="E127" s="11"/>
      <x:c r="F127" s="15"/>
      <x:c r="G127" s="11"/>
      <x:c r="H127" s="11"/>
      <x:c r="I127" s="11"/>
      <x:c r="J127" s="11"/>
      <x:c r="K127" s="14"/>
      <x:c r="L127" s="11"/>
    </x:row>
    <x:row r="128" ht="60" customHeight="1">
      <x:c r="A128" s="11"/>
      <x:c r="B128" s="11"/>
      <x:c r="C128" s="11"/>
      <x:c r="D128" s="11"/>
      <x:c r="E128" s="11"/>
      <x:c r="F128" s="15"/>
      <x:c r="G128" s="11"/>
      <x:c r="H128" s="11"/>
      <x:c r="I128" s="11"/>
      <x:c r="J128" s="11"/>
      <x:c r="K128" s="14"/>
      <x:c r="L128" s="11"/>
    </x:row>
    <x:row r="129" ht="60" customHeight="1">
      <x:c r="A129" s="11"/>
      <x:c r="B129" s="11"/>
      <x:c r="C129" s="11"/>
      <x:c r="D129" s="11"/>
      <x:c r="E129" s="11"/>
      <x:c r="F129" s="15"/>
      <x:c r="G129" s="11"/>
      <x:c r="H129" s="11"/>
      <x:c r="I129" s="11"/>
      <x:c r="J129" s="11"/>
      <x:c r="K129" s="14"/>
      <x:c r="L129" s="11"/>
    </x:row>
    <x:row r="130" ht="60" customHeight="1">
      <x:c r="A130" s="11"/>
      <x:c r="B130" s="11"/>
      <x:c r="C130" s="11"/>
      <x:c r="D130" s="11"/>
      <x:c r="E130" s="11"/>
      <x:c r="F130" s="15"/>
      <x:c r="G130" s="11"/>
      <x:c r="H130" s="11"/>
      <x:c r="I130" s="11"/>
      <x:c r="J130" s="11"/>
      <x:c r="K130" s="14"/>
      <x:c r="L130" s="11"/>
    </x:row>
    <x:row r="131" ht="60" customHeight="1">
      <x:c r="A131" s="11"/>
      <x:c r="B131" s="11"/>
      <x:c r="C131" s="11"/>
      <x:c r="D131" s="11"/>
      <x:c r="E131" s="11"/>
      <x:c r="F131" s="15"/>
      <x:c r="G131" s="11"/>
      <x:c r="H131" s="11"/>
      <x:c r="I131" s="11"/>
      <x:c r="J131" s="11"/>
      <x:c r="K131" s="14"/>
      <x:c r="L131" s="11"/>
    </x:row>
    <x:row r="132" ht="60" customHeight="1">
      <x:c r="A132" s="11"/>
      <x:c r="B132" s="11"/>
      <x:c r="C132" s="11"/>
      <x:c r="D132" s="11"/>
      <x:c r="E132" s="11"/>
      <x:c r="F132" s="15"/>
      <x:c r="G132" s="11"/>
      <x:c r="H132" s="11"/>
      <x:c r="I132" s="11"/>
      <x:c r="J132" s="11"/>
      <x:c r="K132" s="14"/>
      <x:c r="L132" s="11"/>
    </x:row>
    <x:row r="133" ht="60" customHeight="1">
      <x:c r="A133" s="11"/>
      <x:c r="B133" s="11"/>
      <x:c r="C133" s="11"/>
      <x:c r="D133" s="11"/>
      <x:c r="E133" s="11"/>
      <x:c r="F133" s="15"/>
      <x:c r="G133" s="11"/>
      <x:c r="H133" s="11"/>
      <x:c r="I133" s="11"/>
      <x:c r="J133" s="11"/>
      <x:c r="K133" s="14"/>
      <x:c r="L133" s="11"/>
    </x:row>
    <x:row r="134" ht="60" customHeight="1">
      <x:c r="A134" s="11"/>
      <x:c r="B134" s="11"/>
      <x:c r="C134" s="11"/>
      <x:c r="D134" s="11"/>
      <x:c r="E134" s="11"/>
      <x:c r="F134" s="15"/>
      <x:c r="G134" s="11"/>
      <x:c r="H134" s="11"/>
      <x:c r="I134" s="11"/>
      <x:c r="J134" s="11"/>
      <x:c r="K134" s="14"/>
      <x:c r="L134" s="11"/>
    </x:row>
    <x:row r="135" ht="60" customHeight="1">
      <x:c r="A135" s="11"/>
      <x:c r="B135" s="11"/>
      <x:c r="C135" s="11"/>
      <x:c r="D135" s="11"/>
      <x:c r="E135" s="11"/>
      <x:c r="F135" s="15"/>
      <x:c r="G135" s="11"/>
      <x:c r="H135" s="11"/>
      <x:c r="I135" s="11"/>
      <x:c r="J135" s="11"/>
      <x:c r="K135" s="14"/>
      <x:c r="L135" s="11"/>
    </x:row>
    <x:row r="136" ht="60" customHeight="1">
      <x:c r="A136" s="11"/>
      <x:c r="B136" s="11"/>
      <x:c r="C136" s="11"/>
      <x:c r="D136" s="11"/>
      <x:c r="E136" s="11"/>
      <x:c r="F136" s="15"/>
      <x:c r="G136" s="11"/>
      <x:c r="H136" s="11"/>
      <x:c r="I136" s="11"/>
      <x:c r="J136" s="11"/>
      <x:c r="K136" s="14"/>
      <x:c r="L136" s="11"/>
    </x:row>
    <x:row r="137" ht="60" customHeight="1">
      <x:c r="A137" s="11"/>
      <x:c r="B137" s="11"/>
      <x:c r="C137" s="11"/>
      <x:c r="D137" s="11"/>
      <x:c r="E137" s="11"/>
      <x:c r="F137" s="15"/>
      <x:c r="G137" s="11"/>
      <x:c r="H137" s="11"/>
      <x:c r="I137" s="11"/>
      <x:c r="J137" s="11"/>
      <x:c r="K137" s="14"/>
      <x:c r="L137" s="11"/>
    </x:row>
    <x:row r="138" ht="60" customHeight="1">
      <x:c r="A138" s="11"/>
      <x:c r="B138" s="11"/>
      <x:c r="C138" s="11"/>
      <x:c r="D138" s="11"/>
      <x:c r="E138" s="11"/>
      <x:c r="F138" s="15"/>
      <x:c r="G138" s="11"/>
      <x:c r="H138" s="11"/>
      <x:c r="I138" s="11"/>
      <x:c r="J138" s="11"/>
      <x:c r="K138" s="14"/>
      <x:c r="L138" s="11"/>
    </x:row>
    <x:row r="139" ht="60" customHeight="1">
      <x:c r="A139" s="11"/>
      <x:c r="B139" s="11"/>
      <x:c r="C139" s="11"/>
      <x:c r="D139" s="11"/>
      <x:c r="E139" s="11"/>
      <x:c r="F139" s="15"/>
      <x:c r="G139" s="11"/>
      <x:c r="H139" s="11"/>
      <x:c r="I139" s="11"/>
      <x:c r="J139" s="11"/>
      <x:c r="K139" s="14"/>
      <x:c r="L139" s="11"/>
    </x:row>
    <x:row r="140" ht="60" customHeight="1">
      <x:c r="A140" s="11"/>
      <x:c r="B140" s="11"/>
      <x:c r="C140" s="11"/>
      <x:c r="D140" s="11"/>
      <x:c r="E140" s="11"/>
      <x:c r="F140" s="15"/>
      <x:c r="G140" s="11"/>
      <x:c r="H140" s="11"/>
      <x:c r="I140" s="11"/>
      <x:c r="J140" s="11"/>
      <x:c r="K140" s="14"/>
      <x:c r="L140" s="11"/>
    </x:row>
    <x:row r="141" ht="60" customHeight="1">
      <x:c r="A141" s="11"/>
      <x:c r="B141" s="11"/>
      <x:c r="C141" s="11"/>
      <x:c r="D141" s="11"/>
      <x:c r="E141" s="11"/>
      <x:c r="F141" s="15"/>
      <x:c r="G141" s="11"/>
      <x:c r="H141" s="11"/>
      <x:c r="I141" s="11"/>
      <x:c r="J141" s="11"/>
      <x:c r="K141" s="14"/>
      <x:c r="L141" s="11"/>
    </x:row>
    <x:row r="142" ht="60" customHeight="1">
      <x:c r="A142" s="11"/>
      <x:c r="B142" s="11"/>
      <x:c r="C142" s="11"/>
      <x:c r="D142" s="11"/>
      <x:c r="E142" s="11"/>
      <x:c r="F142" s="15"/>
      <x:c r="G142" s="11"/>
      <x:c r="H142" s="11"/>
      <x:c r="I142" s="11"/>
      <x:c r="J142" s="11"/>
      <x:c r="K142" s="14"/>
      <x:c r="L142" s="11"/>
    </x:row>
    <x:row r="143" ht="60" customHeight="1">
      <x:c r="A143" s="11"/>
      <x:c r="B143" s="11"/>
      <x:c r="C143" s="11"/>
      <x:c r="D143" s="11"/>
      <x:c r="E143" s="11"/>
      <x:c r="F143" s="15"/>
      <x:c r="G143" s="11"/>
      <x:c r="H143" s="11"/>
      <x:c r="I143" s="11"/>
      <x:c r="J143" s="11"/>
      <x:c r="K143" s="14"/>
      <x:c r="L143" s="11"/>
    </x:row>
    <x:row r="144" ht="60" customHeight="1">
      <x:c r="A144" s="11"/>
      <x:c r="B144" s="11"/>
      <x:c r="C144" s="11"/>
      <x:c r="D144" s="11"/>
      <x:c r="E144" s="11"/>
      <x:c r="F144" s="15"/>
      <x:c r="G144" s="11"/>
      <x:c r="H144" s="11"/>
      <x:c r="I144" s="11"/>
      <x:c r="J144" s="11"/>
      <x:c r="K144" s="14"/>
      <x:c r="L144" s="11"/>
    </x:row>
    <x:row r="145" ht="60" customHeight="1">
      <x:c r="A145" s="11"/>
      <x:c r="B145" s="11"/>
      <x:c r="C145" s="11"/>
      <x:c r="D145" s="11"/>
      <x:c r="E145" s="11"/>
      <x:c r="F145" s="15"/>
      <x:c r="G145" s="11"/>
      <x:c r="H145" s="11"/>
      <x:c r="I145" s="11"/>
      <x:c r="J145" s="11"/>
      <x:c r="K145" s="14"/>
      <x:c r="L145" s="11"/>
    </x:row>
    <x:row r="146" ht="60" customHeight="1">
      <x:c r="A146" s="11"/>
      <x:c r="B146" s="11"/>
      <x:c r="C146" s="11"/>
      <x:c r="D146" s="11"/>
      <x:c r="E146" s="11"/>
      <x:c r="F146" s="15"/>
      <x:c r="G146" s="11"/>
      <x:c r="H146" s="11"/>
      <x:c r="I146" s="11"/>
      <x:c r="J146" s="11"/>
      <x:c r="K146" s="14"/>
      <x:c r="L146" s="11"/>
    </x:row>
    <x:row r="147" ht="60" customHeight="1">
      <x:c r="A147" s="11"/>
      <x:c r="B147" s="11"/>
      <x:c r="C147" s="11"/>
      <x:c r="D147" s="11"/>
      <x:c r="E147" s="11"/>
      <x:c r="F147" s="15"/>
      <x:c r="G147" s="11"/>
      <x:c r="H147" s="11"/>
      <x:c r="I147" s="11"/>
      <x:c r="J147" s="11"/>
      <x:c r="K147" s="14"/>
      <x:c r="L147" s="11"/>
    </x:row>
    <x:row r="148" ht="60" customHeight="1">
      <x:c r="A148" s="11"/>
      <x:c r="B148" s="11"/>
      <x:c r="C148" s="11"/>
      <x:c r="D148" s="11"/>
      <x:c r="E148" s="11"/>
      <x:c r="F148" s="15"/>
      <x:c r="G148" s="11"/>
      <x:c r="H148" s="11"/>
      <x:c r="I148" s="11"/>
      <x:c r="J148" s="11"/>
      <x:c r="K148" s="14"/>
      <x:c r="L148" s="11"/>
    </x:row>
    <x:row r="149" ht="60" customHeight="1">
      <x:c r="A149" s="11"/>
      <x:c r="B149" s="11"/>
      <x:c r="C149" s="11"/>
      <x:c r="D149" s="11"/>
      <x:c r="E149" s="11"/>
      <x:c r="F149" s="15"/>
      <x:c r="G149" s="11"/>
      <x:c r="H149" s="11"/>
      <x:c r="I149" s="11"/>
      <x:c r="J149" s="11"/>
      <x:c r="K149" s="14"/>
      <x:c r="L149" s="11"/>
    </x:row>
    <x:row r="150" ht="60" customHeight="1">
      <x:c r="A150" s="11"/>
      <x:c r="B150" s="11"/>
      <x:c r="C150" s="11"/>
      <x:c r="D150" s="11"/>
      <x:c r="E150" s="11"/>
      <x:c r="F150" s="15"/>
      <x:c r="G150" s="11"/>
      <x:c r="H150" s="11"/>
      <x:c r="I150" s="11"/>
      <x:c r="J150" s="11"/>
      <x:c r="K150" s="14"/>
      <x:c r="L150" s="11"/>
    </x:row>
    <x:row r="151" ht="60" customHeight="1">
      <x:c r="A151" s="11"/>
      <x:c r="B151" s="11"/>
      <x:c r="C151" s="11"/>
      <x:c r="D151" s="11"/>
      <x:c r="E151" s="11"/>
      <x:c r="F151" s="15"/>
      <x:c r="G151" s="11"/>
      <x:c r="H151" s="11"/>
      <x:c r="I151" s="11"/>
      <x:c r="J151" s="11"/>
      <x:c r="K151" s="14"/>
      <x:c r="L151" s="11"/>
    </x:row>
    <x:row r="152" ht="60" customHeight="1">
      <x:c r="A152" s="11"/>
      <x:c r="B152" s="11"/>
      <x:c r="C152" s="11"/>
      <x:c r="D152" s="11"/>
      <x:c r="E152" s="11"/>
      <x:c r="F152" s="15"/>
      <x:c r="G152" s="11"/>
      <x:c r="H152" s="11"/>
      <x:c r="I152" s="11"/>
      <x:c r="J152" s="11"/>
      <x:c r="K152" s="14"/>
      <x:c r="L152" s="11"/>
    </x:row>
    <x:row r="153" ht="60" customHeight="1">
      <x:c r="A153" s="11"/>
      <x:c r="B153" s="11"/>
      <x:c r="C153" s="11"/>
      <x:c r="D153" s="11"/>
      <x:c r="E153" s="11"/>
      <x:c r="F153" s="15"/>
      <x:c r="G153" s="11"/>
      <x:c r="H153" s="11"/>
      <x:c r="I153" s="11"/>
      <x:c r="J153" s="11"/>
      <x:c r="K153" s="14"/>
      <x:c r="L153" s="11"/>
    </x:row>
    <x:row r="154" ht="60" customHeight="1">
      <x:c r="A154" s="11"/>
      <x:c r="B154" s="11"/>
      <x:c r="C154" s="11"/>
      <x:c r="D154" s="11"/>
      <x:c r="E154" s="11"/>
      <x:c r="F154" s="15"/>
      <x:c r="G154" s="11"/>
      <x:c r="H154" s="11"/>
      <x:c r="I154" s="11"/>
      <x:c r="J154" s="11"/>
      <x:c r="K154" s="14"/>
      <x:c r="L154" s="11"/>
    </x:row>
    <x:row r="155" ht="60" customHeight="1">
      <x:c r="A155" s="11"/>
      <x:c r="B155" s="11"/>
      <x:c r="C155" s="11"/>
      <x:c r="D155" s="11"/>
      <x:c r="E155" s="11"/>
      <x:c r="F155" s="15"/>
      <x:c r="G155" s="11"/>
      <x:c r="H155" s="11"/>
      <x:c r="I155" s="11"/>
      <x:c r="J155" s="11"/>
      <x:c r="K155" s="14"/>
      <x:c r="L155" s="11"/>
    </x:row>
    <x:row r="156" ht="60" customHeight="1">
      <x:c r="A156" s="11"/>
      <x:c r="B156" s="11"/>
      <x:c r="C156" s="11"/>
      <x:c r="D156" s="11"/>
      <x:c r="E156" s="11"/>
      <x:c r="F156" s="15"/>
      <x:c r="G156" s="11"/>
      <x:c r="H156" s="11"/>
      <x:c r="I156" s="11"/>
      <x:c r="J156" s="11"/>
      <x:c r="K156" s="14"/>
      <x:c r="L156" s="11"/>
    </x:row>
    <x:row r="157" ht="60" customHeight="1">
      <x:c r="A157" s="11"/>
      <x:c r="B157" s="11"/>
      <x:c r="C157" s="11"/>
      <x:c r="D157" s="11"/>
      <x:c r="E157" s="11"/>
      <x:c r="F157" s="15"/>
      <x:c r="G157" s="11"/>
      <x:c r="H157" s="11"/>
      <x:c r="I157" s="11"/>
      <x:c r="J157" s="11"/>
      <x:c r="K157" s="14"/>
      <x:c r="L157" s="11"/>
    </x:row>
    <x:row r="158" ht="60" customHeight="1">
      <x:c r="A158" s="11"/>
      <x:c r="B158" s="11"/>
      <x:c r="C158" s="11"/>
      <x:c r="D158" s="11"/>
      <x:c r="E158" s="11"/>
      <x:c r="F158" s="15"/>
      <x:c r="G158" s="11"/>
      <x:c r="H158" s="11"/>
      <x:c r="I158" s="11"/>
      <x:c r="J158" s="11"/>
      <x:c r="K158" s="14"/>
      <x:c r="L158" s="11"/>
    </x:row>
    <x:row r="159" ht="60" customHeight="1">
      <x:c r="A159" s="11"/>
      <x:c r="B159" s="11"/>
      <x:c r="C159" s="11"/>
      <x:c r="D159" s="11"/>
      <x:c r="E159" s="11"/>
      <x:c r="F159" s="15"/>
      <x:c r="G159" s="11"/>
      <x:c r="H159" s="11"/>
      <x:c r="I159" s="11"/>
      <x:c r="J159" s="11"/>
      <x:c r="K159" s="14"/>
      <x:c r="L159" s="11"/>
    </x:row>
    <x:row r="160" ht="60" customHeight="1">
      <x:c r="A160" s="11"/>
      <x:c r="B160" s="11"/>
      <x:c r="C160" s="11"/>
      <x:c r="D160" s="11"/>
      <x:c r="E160" s="11"/>
      <x:c r="F160" s="15"/>
      <x:c r="G160" s="11"/>
      <x:c r="H160" s="11"/>
      <x:c r="I160" s="11"/>
      <x:c r="J160" s="11"/>
      <x:c r="K160" s="14"/>
      <x:c r="L160" s="11"/>
    </x:row>
    <x:row r="161" ht="60" customHeight="1">
      <x:c r="A161" s="11"/>
      <x:c r="B161" s="11"/>
      <x:c r="C161" s="11"/>
      <x:c r="D161" s="11"/>
      <x:c r="E161" s="11"/>
      <x:c r="F161" s="15"/>
      <x:c r="G161" s="11"/>
      <x:c r="H161" s="11"/>
      <x:c r="I161" s="11"/>
      <x:c r="J161" s="11"/>
      <x:c r="K161" s="14"/>
      <x:c r="L161" s="11"/>
    </x:row>
    <x:row r="162" ht="60" customHeight="1">
      <x:c r="A162" s="11"/>
      <x:c r="B162" s="11"/>
      <x:c r="C162" s="11"/>
      <x:c r="D162" s="11"/>
      <x:c r="E162" s="11"/>
      <x:c r="F162" s="15"/>
      <x:c r="G162" s="11"/>
      <x:c r="H162" s="11"/>
      <x:c r="I162" s="11"/>
      <x:c r="J162" s="11"/>
      <x:c r="K162" s="14"/>
      <x:c r="L162" s="11"/>
    </x:row>
    <x:row r="163" ht="60" customHeight="1">
      <x:c r="A163" s="11"/>
      <x:c r="B163" s="11"/>
      <x:c r="C163" s="11"/>
      <x:c r="D163" s="11"/>
      <x:c r="E163" s="11"/>
      <x:c r="F163" s="15"/>
      <x:c r="G163" s="11"/>
      <x:c r="H163" s="11"/>
      <x:c r="I163" s="11"/>
      <x:c r="J163" s="11"/>
      <x:c r="K163" s="14"/>
      <x:c r="L163" s="11"/>
    </x:row>
    <x:row r="164" ht="60" customHeight="1">
      <x:c r="A164" s="11"/>
      <x:c r="B164" s="11"/>
      <x:c r="C164" s="11"/>
      <x:c r="D164" s="11"/>
      <x:c r="E164" s="11"/>
      <x:c r="F164" s="15"/>
      <x:c r="G164" s="11"/>
      <x:c r="H164" s="11"/>
      <x:c r="I164" s="11"/>
      <x:c r="J164" s="11"/>
      <x:c r="K164" s="14"/>
      <x:c r="L164" s="11"/>
    </x:row>
    <x:row r="165" ht="60" customHeight="1">
      <x:c r="A165" s="11"/>
      <x:c r="B165" s="11"/>
      <x:c r="C165" s="11"/>
      <x:c r="D165" s="11"/>
      <x:c r="E165" s="11"/>
      <x:c r="F165" s="15"/>
      <x:c r="G165" s="11"/>
      <x:c r="H165" s="11"/>
      <x:c r="I165" s="11"/>
      <x:c r="J165" s="11"/>
      <x:c r="K165" s="14"/>
      <x:c r="L165" s="11"/>
    </x:row>
    <x:row r="166" ht="60" customHeight="1">
      <x:c r="A166" s="11"/>
      <x:c r="B166" s="11"/>
      <x:c r="C166" s="11"/>
      <x:c r="D166" s="11"/>
      <x:c r="E166" s="11"/>
      <x:c r="F166" s="15"/>
      <x:c r="G166" s="11"/>
      <x:c r="H166" s="11"/>
      <x:c r="I166" s="11"/>
      <x:c r="J166" s="11"/>
      <x:c r="K166" s="14"/>
      <x:c r="L166" s="11"/>
    </x:row>
    <x:row r="167" ht="60" customHeight="1">
      <x:c r="A167" s="11"/>
      <x:c r="B167" s="11"/>
      <x:c r="C167" s="11"/>
      <x:c r="D167" s="11"/>
      <x:c r="E167" s="11"/>
      <x:c r="F167" s="15"/>
      <x:c r="G167" s="11"/>
      <x:c r="H167" s="11"/>
      <x:c r="I167" s="11"/>
      <x:c r="J167" s="11"/>
      <x:c r="K167" s="14"/>
      <x:c r="L167" s="11"/>
    </x:row>
    <x:row r="168" ht="60" customHeight="1">
      <x:c r="A168" s="11"/>
      <x:c r="B168" s="11"/>
      <x:c r="C168" s="11"/>
      <x:c r="D168" s="11"/>
      <x:c r="E168" s="11"/>
      <x:c r="F168" s="15"/>
      <x:c r="G168" s="11"/>
      <x:c r="H168" s="11"/>
      <x:c r="I168" s="11"/>
      <x:c r="J168" s="11"/>
      <x:c r="K168" s="14"/>
      <x:c r="L168" s="11"/>
    </x:row>
    <x:row r="169" ht="60" customHeight="1">
      <x:c r="A169" s="11"/>
      <x:c r="B169" s="11"/>
      <x:c r="C169" s="11"/>
      <x:c r="D169" s="11"/>
      <x:c r="E169" s="11"/>
      <x:c r="F169" s="15"/>
      <x:c r="G169" s="11"/>
      <x:c r="H169" s="11"/>
      <x:c r="I169" s="11"/>
      <x:c r="J169" s="11"/>
      <x:c r="K169" s="14"/>
      <x:c r="L169" s="11"/>
    </x:row>
    <x:row r="170" ht="60" customHeight="1">
      <x:c r="A170" s="11"/>
      <x:c r="B170" s="11"/>
      <x:c r="C170" s="11"/>
      <x:c r="D170" s="11"/>
      <x:c r="E170" s="11"/>
      <x:c r="F170" s="15"/>
      <x:c r="G170" s="11"/>
      <x:c r="H170" s="11"/>
      <x:c r="I170" s="11"/>
      <x:c r="J170" s="11"/>
      <x:c r="K170" s="14"/>
      <x:c r="L170" s="11"/>
    </x:row>
    <x:row r="171" ht="60" customHeight="1">
      <x:c r="A171" s="11"/>
      <x:c r="B171" s="11"/>
      <x:c r="C171" s="11"/>
      <x:c r="D171" s="11"/>
      <x:c r="E171" s="11"/>
      <x:c r="F171" s="15"/>
      <x:c r="G171" s="11"/>
      <x:c r="H171" s="11"/>
      <x:c r="I171" s="11"/>
      <x:c r="J171" s="11"/>
      <x:c r="K171" s="14"/>
      <x:c r="L171" s="11"/>
    </x:row>
    <x:row r="172" ht="60" customHeight="1">
      <x:c r="A172" s="11"/>
      <x:c r="B172" s="11"/>
      <x:c r="C172" s="11"/>
      <x:c r="D172" s="11"/>
      <x:c r="E172" s="11"/>
      <x:c r="F172" s="15"/>
      <x:c r="G172" s="11"/>
      <x:c r="H172" s="11"/>
      <x:c r="I172" s="11"/>
      <x:c r="J172" s="11"/>
      <x:c r="K172" s="14"/>
      <x:c r="L172" s="11"/>
    </x:row>
    <x:row r="173" ht="60" customHeight="1">
      <x:c r="A173" s="11"/>
      <x:c r="B173" s="11"/>
      <x:c r="C173" s="11"/>
      <x:c r="D173" s="11"/>
      <x:c r="E173" s="11"/>
      <x:c r="F173" s="15"/>
      <x:c r="G173" s="11"/>
      <x:c r="H173" s="11"/>
      <x:c r="I173" s="11"/>
      <x:c r="J173" s="11"/>
      <x:c r="K173" s="14"/>
      <x:c r="L173" s="11"/>
    </x:row>
    <x:row r="174" ht="60" customHeight="1">
      <x:c r="A174" s="11"/>
      <x:c r="B174" s="11"/>
      <x:c r="C174" s="11"/>
      <x:c r="D174" s="11"/>
      <x:c r="E174" s="11"/>
      <x:c r="F174" s="15"/>
      <x:c r="G174" s="11"/>
      <x:c r="H174" s="11"/>
      <x:c r="I174" s="11"/>
      <x:c r="J174" s="11"/>
      <x:c r="K174" s="14"/>
      <x:c r="L174" s="11"/>
    </x:row>
    <x:row r="175" ht="60" customHeight="1">
      <x:c r="A175" s="11"/>
      <x:c r="B175" s="11"/>
      <x:c r="C175" s="11"/>
      <x:c r="D175" s="11"/>
      <x:c r="E175" s="11"/>
      <x:c r="F175" s="15"/>
      <x:c r="G175" s="11"/>
      <x:c r="H175" s="11"/>
      <x:c r="I175" s="11"/>
      <x:c r="J175" s="11"/>
      <x:c r="K175" s="14"/>
      <x:c r="L175" s="11"/>
    </x:row>
    <x:row r="176" ht="60" customHeight="1">
      <x:c r="A176" s="11"/>
      <x:c r="B176" s="11"/>
      <x:c r="C176" s="11"/>
      <x:c r="D176" s="11"/>
      <x:c r="E176" s="11"/>
      <x:c r="F176" s="15"/>
      <x:c r="G176" s="11"/>
      <x:c r="H176" s="11"/>
      <x:c r="I176" s="11"/>
      <x:c r="J176" s="11"/>
      <x:c r="K176" s="14"/>
      <x:c r="L176" s="11"/>
    </x:row>
    <x:row r="177" ht="60" customHeight="1">
      <x:c r="A177" s="11"/>
      <x:c r="B177" s="11"/>
      <x:c r="C177" s="11"/>
      <x:c r="D177" s="11"/>
      <x:c r="E177" s="11"/>
      <x:c r="F177" s="15"/>
      <x:c r="G177" s="11"/>
      <x:c r="H177" s="11"/>
      <x:c r="I177" s="11"/>
      <x:c r="J177" s="11"/>
      <x:c r="K177" s="14"/>
      <x:c r="L177" s="11"/>
    </x:row>
    <x:row r="178" ht="60" customHeight="1">
      <x:c r="A178" s="11"/>
      <x:c r="B178" s="11"/>
      <x:c r="C178" s="11"/>
      <x:c r="D178" s="11"/>
      <x:c r="E178" s="11"/>
      <x:c r="F178" s="15"/>
      <x:c r="G178" s="11"/>
      <x:c r="H178" s="11"/>
      <x:c r="I178" s="11"/>
      <x:c r="J178" s="11"/>
      <x:c r="K178" s="14"/>
      <x:c r="L178" s="11"/>
    </x:row>
    <x:row r="179" ht="60" customHeight="1">
      <x:c r="A179" s="11"/>
      <x:c r="B179" s="11"/>
      <x:c r="C179" s="11"/>
      <x:c r="D179" s="11"/>
      <x:c r="E179" s="11"/>
      <x:c r="F179" s="15"/>
      <x:c r="G179" s="11"/>
      <x:c r="H179" s="11"/>
      <x:c r="I179" s="11"/>
      <x:c r="J179" s="11"/>
      <x:c r="K179" s="14"/>
      <x:c r="L179" s="11"/>
    </x:row>
    <x:row r="180" ht="60" customHeight="1">
      <x:c r="A180" s="11"/>
      <x:c r="B180" s="11"/>
      <x:c r="C180" s="11"/>
      <x:c r="D180" s="11"/>
      <x:c r="E180" s="11"/>
      <x:c r="F180" s="15"/>
      <x:c r="G180" s="11"/>
      <x:c r="H180" s="11"/>
      <x:c r="I180" s="11"/>
      <x:c r="J180" s="11"/>
      <x:c r="K180" s="14"/>
      <x:c r="L180" s="11"/>
    </x:row>
    <x:row r="181" ht="60" customHeight="1">
      <x:c r="A181" s="11"/>
      <x:c r="B181" s="11"/>
      <x:c r="C181" s="11"/>
      <x:c r="D181" s="11"/>
      <x:c r="E181" s="11"/>
      <x:c r="F181" s="15"/>
      <x:c r="G181" s="11"/>
      <x:c r="H181" s="11"/>
      <x:c r="I181" s="11"/>
      <x:c r="J181" s="11"/>
      <x:c r="K181" s="14"/>
      <x:c r="L181" s="11"/>
    </x:row>
    <x:row r="182" ht="60" customHeight="1">
      <x:c r="A182" s="11"/>
      <x:c r="B182" s="11"/>
      <x:c r="C182" s="11"/>
      <x:c r="D182" s="11"/>
      <x:c r="E182" s="11"/>
      <x:c r="F182" s="15"/>
      <x:c r="G182" s="11"/>
      <x:c r="H182" s="11"/>
      <x:c r="I182" s="11"/>
      <x:c r="J182" s="11"/>
      <x:c r="K182" s="14"/>
      <x:c r="L182" s="11"/>
    </x:row>
    <x:row r="183" ht="60" customHeight="1">
      <x:c r="A183" s="11"/>
      <x:c r="B183" s="11"/>
      <x:c r="C183" s="11"/>
      <x:c r="D183" s="11"/>
      <x:c r="E183" s="11"/>
      <x:c r="F183" s="15"/>
      <x:c r="G183" s="11"/>
      <x:c r="H183" s="11"/>
      <x:c r="I183" s="11"/>
      <x:c r="J183" s="11"/>
      <x:c r="K183" s="14"/>
      <x:c r="L183" s="11"/>
    </x:row>
    <x:row r="184" ht="60" customHeight="1">
      <x:c r="A184" s="11"/>
      <x:c r="B184" s="11"/>
      <x:c r="C184" s="11"/>
      <x:c r="D184" s="11"/>
      <x:c r="E184" s="11"/>
      <x:c r="F184" s="15"/>
      <x:c r="G184" s="11"/>
      <x:c r="H184" s="11"/>
      <x:c r="I184" s="11"/>
      <x:c r="J184" s="11"/>
      <x:c r="K184" s="14"/>
      <x:c r="L184" s="11"/>
    </x:row>
    <x:row r="185" ht="60" customHeight="1">
      <x:c r="A185" s="11"/>
      <x:c r="B185" s="11"/>
      <x:c r="C185" s="11"/>
      <x:c r="D185" s="11"/>
      <x:c r="E185" s="11"/>
      <x:c r="F185" s="15"/>
      <x:c r="G185" s="11"/>
      <x:c r="H185" s="11"/>
      <x:c r="I185" s="11"/>
      <x:c r="J185" s="11"/>
      <x:c r="K185" s="14"/>
      <x:c r="L185" s="11"/>
    </x:row>
    <x:row r="186" ht="60" customHeight="1">
      <x:c r="A186" s="11"/>
      <x:c r="B186" s="11"/>
      <x:c r="C186" s="11"/>
      <x:c r="D186" s="11"/>
      <x:c r="E186" s="11"/>
      <x:c r="F186" s="15"/>
      <x:c r="G186" s="11"/>
      <x:c r="H186" s="11"/>
      <x:c r="I186" s="11"/>
      <x:c r="J186" s="11"/>
      <x:c r="K186" s="14"/>
      <x:c r="L186" s="11"/>
    </x:row>
    <x:row r="187" ht="60" customHeight="1">
      <x:c r="A187" s="11"/>
      <x:c r="B187" s="11"/>
      <x:c r="C187" s="11"/>
      <x:c r="D187" s="11"/>
      <x:c r="E187" s="11"/>
      <x:c r="F187" s="15"/>
      <x:c r="G187" s="11"/>
      <x:c r="H187" s="11"/>
      <x:c r="I187" s="11"/>
      <x:c r="J187" s="11"/>
      <x:c r="K187" s="14"/>
      <x:c r="L187" s="11"/>
    </x:row>
    <x:row r="188" ht="60" customHeight="1">
      <x:c r="A188" s="11"/>
      <x:c r="B188" s="11"/>
      <x:c r="C188" s="11"/>
      <x:c r="D188" s="11"/>
      <x:c r="E188" s="11"/>
      <x:c r="F188" s="15"/>
      <x:c r="G188" s="11"/>
      <x:c r="H188" s="11"/>
      <x:c r="I188" s="11"/>
      <x:c r="J188" s="11"/>
      <x:c r="K188" s="14"/>
      <x:c r="L188" s="11"/>
    </x:row>
    <x:row r="189" ht="60" customHeight="1">
      <x:c r="A189" s="11"/>
      <x:c r="B189" s="11"/>
      <x:c r="C189" s="11"/>
      <x:c r="D189" s="11"/>
      <x:c r="E189" s="11"/>
      <x:c r="F189" s="15"/>
      <x:c r="G189" s="11"/>
      <x:c r="H189" s="11"/>
      <x:c r="I189" s="11"/>
      <x:c r="J189" s="11"/>
      <x:c r="K189" s="14"/>
      <x:c r="L189" s="11"/>
    </x:row>
    <x:row r="190" ht="60" customHeight="1">
      <x:c r="A190" s="11"/>
      <x:c r="B190" s="11"/>
      <x:c r="C190" s="11"/>
      <x:c r="D190" s="11"/>
      <x:c r="E190" s="11"/>
      <x:c r="F190" s="15"/>
      <x:c r="G190" s="11"/>
      <x:c r="H190" s="11"/>
      <x:c r="I190" s="11"/>
      <x:c r="J190" s="11"/>
      <x:c r="K190" s="14"/>
      <x:c r="L190" s="11"/>
    </x:row>
    <x:row r="191" ht="60" customHeight="1">
      <x:c r="A191" s="11"/>
      <x:c r="B191" s="11"/>
      <x:c r="C191" s="11"/>
      <x:c r="D191" s="11"/>
      <x:c r="E191" s="11"/>
      <x:c r="F191" s="15"/>
      <x:c r="G191" s="11"/>
      <x:c r="H191" s="11"/>
      <x:c r="I191" s="11"/>
      <x:c r="J191" s="11"/>
      <x:c r="K191" s="14"/>
      <x:c r="L191" s="11"/>
    </x:row>
    <x:row r="192" ht="60" customHeight="1">
      <x:c r="A192" s="11"/>
      <x:c r="B192" s="11"/>
      <x:c r="C192" s="11"/>
      <x:c r="D192" s="11"/>
      <x:c r="E192" s="11"/>
      <x:c r="F192" s="15"/>
      <x:c r="G192" s="11"/>
      <x:c r="H192" s="11"/>
      <x:c r="I192" s="11"/>
      <x:c r="J192" s="11"/>
      <x:c r="K192" s="14"/>
      <x:c r="L192" s="11"/>
    </x:row>
    <x:row r="193" ht="60" customHeight="1">
      <x:c r="A193" s="11"/>
      <x:c r="B193" s="11"/>
      <x:c r="C193" s="11"/>
      <x:c r="D193" s="11"/>
      <x:c r="E193" s="11"/>
      <x:c r="F193" s="15"/>
      <x:c r="G193" s="11"/>
      <x:c r="H193" s="11"/>
      <x:c r="I193" s="11"/>
      <x:c r="J193" s="11"/>
      <x:c r="K193" s="14"/>
      <x:c r="L193" s="11"/>
    </x:row>
    <x:row r="194" ht="60" customHeight="1">
      <x:c r="A194" s="11"/>
      <x:c r="B194" s="11"/>
      <x:c r="C194" s="11"/>
      <x:c r="D194" s="11"/>
      <x:c r="E194" s="11"/>
      <x:c r="F194" s="15"/>
      <x:c r="G194" s="11"/>
      <x:c r="H194" s="11"/>
      <x:c r="I194" s="11"/>
      <x:c r="J194" s="11"/>
      <x:c r="K194" s="14"/>
      <x:c r="L194" s="11"/>
    </x:row>
    <x:row r="195" ht="60" customHeight="1">
      <x:c r="A195" s="11"/>
      <x:c r="B195" s="11"/>
      <x:c r="C195" s="11"/>
      <x:c r="D195" s="11"/>
      <x:c r="E195" s="11"/>
      <x:c r="F195" s="15"/>
      <x:c r="G195" s="11"/>
      <x:c r="H195" s="11"/>
      <x:c r="I195" s="11"/>
      <x:c r="J195" s="11"/>
      <x:c r="K195" s="14"/>
      <x:c r="L195" s="11"/>
    </x:row>
    <x:row r="196" ht="60" customHeight="1">
      <x:c r="A196" s="11"/>
      <x:c r="B196" s="11"/>
      <x:c r="C196" s="11"/>
      <x:c r="D196" s="11"/>
      <x:c r="E196" s="11"/>
      <x:c r="F196" s="15"/>
      <x:c r="G196" s="11"/>
      <x:c r="H196" s="11"/>
      <x:c r="I196" s="11"/>
      <x:c r="J196" s="11"/>
      <x:c r="K196" s="14"/>
      <x:c r="L196" s="11"/>
    </x:row>
    <x:row r="197" ht="60" customHeight="1">
      <x:c r="A197" s="11"/>
      <x:c r="B197" s="11"/>
      <x:c r="C197" s="11"/>
      <x:c r="D197" s="11"/>
      <x:c r="E197" s="11"/>
      <x:c r="F197" s="15"/>
      <x:c r="G197" s="11"/>
      <x:c r="H197" s="11"/>
      <x:c r="I197" s="11"/>
      <x:c r="J197" s="11"/>
      <x:c r="K197" s="14"/>
      <x:c r="L197" s="11"/>
    </x:row>
    <x:row r="198" ht="60" customHeight="1">
      <x:c r="A198" s="11"/>
      <x:c r="B198" s="11"/>
      <x:c r="C198" s="11"/>
      <x:c r="D198" s="11"/>
      <x:c r="E198" s="11"/>
      <x:c r="F198" s="15"/>
      <x:c r="G198" s="11"/>
      <x:c r="H198" s="11"/>
      <x:c r="I198" s="11"/>
      <x:c r="J198" s="11"/>
      <x:c r="K198" s="14"/>
      <x:c r="L198" s="11"/>
    </x:row>
    <x:row r="199" ht="60" customHeight="1">
      <x:c r="A199" s="11"/>
      <x:c r="B199" s="11"/>
      <x:c r="C199" s="11"/>
      <x:c r="D199" s="11"/>
      <x:c r="E199" s="11"/>
      <x:c r="F199" s="15"/>
      <x:c r="G199" s="11"/>
      <x:c r="H199" s="11"/>
      <x:c r="I199" s="11"/>
      <x:c r="J199" s="11"/>
      <x:c r="K199" s="14"/>
      <x:c r="L199" s="11"/>
    </x:row>
    <x:row r="200" ht="60" customHeight="1">
      <x:c r="A200" s="11"/>
      <x:c r="B200" s="11"/>
      <x:c r="C200" s="11"/>
      <x:c r="D200" s="11"/>
      <x:c r="E200" s="11"/>
      <x:c r="F200" s="15"/>
      <x:c r="G200" s="11"/>
      <x:c r="H200" s="11"/>
      <x:c r="I200" s="11"/>
      <x:c r="J200" s="11"/>
      <x:c r="K200" s="14"/>
      <x:c r="L200" s="11"/>
    </x:row>
    <x:row r="201" ht="60" customHeight="1">
      <x:c r="A201" s="11"/>
      <x:c r="B201" s="11"/>
      <x:c r="C201" s="11"/>
      <x:c r="D201" s="11"/>
      <x:c r="E201" s="11"/>
      <x:c r="F201" s="15"/>
      <x:c r="G201" s="11"/>
      <x:c r="H201" s="11"/>
      <x:c r="I201" s="11"/>
      <x:c r="J201" s="11"/>
      <x:c r="K201" s="14"/>
      <x:c r="L201" s="11"/>
    </x:row>
    <x:row r="202" ht="60" customHeight="1">
      <x:c r="A202" s="11"/>
      <x:c r="B202" s="11"/>
      <x:c r="C202" s="11"/>
      <x:c r="D202" s="11"/>
      <x:c r="E202" s="11"/>
      <x:c r="F202" s="15"/>
      <x:c r="G202" s="11"/>
      <x:c r="H202" s="11"/>
      <x:c r="I202" s="11"/>
      <x:c r="J202" s="11"/>
      <x:c r="K202" s="14"/>
      <x:c r="L202" s="11"/>
    </x:row>
    <x:row r="203" ht="60" customHeight="1">
      <x:c r="A203" s="11"/>
      <x:c r="B203" s="11"/>
      <x:c r="C203" s="11"/>
      <x:c r="D203" s="11"/>
      <x:c r="E203" s="11"/>
      <x:c r="F203" s="15"/>
      <x:c r="G203" s="11"/>
      <x:c r="H203" s="11"/>
      <x:c r="I203" s="11"/>
      <x:c r="J203" s="11"/>
      <x:c r="K203" s="14"/>
      <x:c r="L203" s="11"/>
    </x:row>
    <x:row r="204" ht="60" customHeight="1">
      <x:c r="A204" s="11"/>
      <x:c r="B204" s="11"/>
      <x:c r="C204" s="11"/>
      <x:c r="D204" s="11"/>
      <x:c r="E204" s="11"/>
      <x:c r="F204" s="15"/>
      <x:c r="G204" s="11"/>
      <x:c r="H204" s="11"/>
      <x:c r="I204" s="11"/>
      <x:c r="J204" s="11"/>
      <x:c r="K204" s="14"/>
      <x:c r="L204" s="11"/>
    </x:row>
    <x:row r="205" ht="60" customHeight="1">
      <x:c r="A205" s="11"/>
      <x:c r="B205" s="11"/>
      <x:c r="C205" s="11"/>
      <x:c r="D205" s="11"/>
      <x:c r="E205" s="11"/>
      <x:c r="F205" s="15"/>
      <x:c r="G205" s="11"/>
      <x:c r="H205" s="11"/>
      <x:c r="I205" s="11"/>
      <x:c r="J205" s="11"/>
      <x:c r="K205" s="14"/>
      <x:c r="L205" s="11"/>
    </x:row>
    <x:row r="206" ht="60" customHeight="1">
      <x:c r="A206" s="11"/>
      <x:c r="B206" s="11"/>
      <x:c r="C206" s="11"/>
      <x:c r="D206" s="11"/>
      <x:c r="E206" s="11"/>
      <x:c r="F206" s="15"/>
      <x:c r="G206" s="11"/>
      <x:c r="H206" s="11"/>
      <x:c r="I206" s="11"/>
      <x:c r="J206" s="11"/>
      <x:c r="K206" s="14"/>
      <x:c r="L206" s="11"/>
    </x:row>
  </x:sheetData>
  <x:conditionalFormatting sqref="J7:J206">
    <x:cfRule type="containsText" dxfId="9" priority="1" operator="containsText" text="Conflict"/>
  </x:conditionalFormatting>
  <x:dataValidations count="1">
    <x:dataValidation type="list" sqref="J7:J206">
      <x:formula1>"Unverified,Verified,Missing,Conflict - Review Required,Illustrative - not real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b89dcfbf1c4df9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2" t="str">
        <x:v>Revision and decision log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 t="str">
        <x:v>Blank template - enter your approved project records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2" customHeight="1">
      <x:c r="A6" s="8" t="str">
        <x:v>History ID</x:v>
      </x:c>
      <x:c r="B6" s="8" t="str">
        <x:v>Project ID</x:v>
      </x:c>
      <x:c r="C6" s="8" t="str">
        <x:v>Target Record ID</x:v>
      </x:c>
      <x:c r="D6" s="8" t="str">
        <x:v>Prior Revision</x:v>
      </x:c>
      <x:c r="E6" s="8" t="str">
        <x:v>New Revision</x:v>
      </x:c>
      <x:c r="F6" s="8" t="str">
        <x:v>Change Reason</x:v>
      </x:c>
      <x:c r="G6" s="8" t="str">
        <x:v>Actor</x:v>
      </x:c>
      <x:c r="H6" s="8" t="str">
        <x:v>Occurred Date</x:v>
      </x:c>
      <x:c r="I6" s="8" t="str">
        <x:v>Decision Reference</x:v>
      </x:c>
      <x:c r="J6" s="8" t="str">
        <x:v>Evidence Reference</x:v>
      </x:c>
    </x:row>
    <x:row r="7" ht="60" customHeight="1">
      <x:c r="A7" s="11"/>
      <x:c r="B7" s="11"/>
      <x:c r="C7" s="11"/>
      <x:c r="D7" s="14"/>
      <x:c r="E7" s="14"/>
      <x:c r="F7" s="11"/>
      <x:c r="G7" s="11"/>
      <x:c r="H7" s="15"/>
      <x:c r="I7" s="11"/>
      <x:c r="J7" s="11"/>
    </x:row>
    <x:row r="8" ht="60" customHeight="1">
      <x:c r="A8" s="11"/>
      <x:c r="B8" s="11"/>
      <x:c r="C8" s="11"/>
      <x:c r="D8" s="14"/>
      <x:c r="E8" s="14"/>
      <x:c r="F8" s="11"/>
      <x:c r="G8" s="11"/>
      <x:c r="H8" s="15"/>
      <x:c r="I8" s="11"/>
      <x:c r="J8" s="11"/>
    </x:row>
    <x:row r="9" ht="60" customHeight="1">
      <x:c r="A9" s="11"/>
      <x:c r="B9" s="11"/>
      <x:c r="C9" s="11"/>
      <x:c r="D9" s="14"/>
      <x:c r="E9" s="14"/>
      <x:c r="F9" s="11"/>
      <x:c r="G9" s="11"/>
      <x:c r="H9" s="15"/>
      <x:c r="I9" s="11"/>
      <x:c r="J9" s="11"/>
    </x:row>
    <x:row r="10" ht="60" customHeight="1">
      <x:c r="A10" s="11"/>
      <x:c r="B10" s="11"/>
      <x:c r="C10" s="11"/>
      <x:c r="D10" s="14"/>
      <x:c r="E10" s="14"/>
      <x:c r="F10" s="11"/>
      <x:c r="G10" s="11"/>
      <x:c r="H10" s="15"/>
      <x:c r="I10" s="11"/>
      <x:c r="J10" s="11"/>
    </x:row>
    <x:row r="11" ht="60" customHeight="1">
      <x:c r="A11" s="11"/>
      <x:c r="B11" s="11"/>
      <x:c r="C11" s="11"/>
      <x:c r="D11" s="14"/>
      <x:c r="E11" s="14"/>
      <x:c r="F11" s="11"/>
      <x:c r="G11" s="11"/>
      <x:c r="H11" s="15"/>
      <x:c r="I11" s="11"/>
      <x:c r="J11" s="11"/>
    </x:row>
    <x:row r="12" ht="60" customHeight="1">
      <x:c r="A12" s="11"/>
      <x:c r="B12" s="11"/>
      <x:c r="C12" s="11"/>
      <x:c r="D12" s="14"/>
      <x:c r="E12" s="14"/>
      <x:c r="F12" s="11"/>
      <x:c r="G12" s="11"/>
      <x:c r="H12" s="15"/>
      <x:c r="I12" s="11"/>
      <x:c r="J12" s="11"/>
    </x:row>
    <x:row r="13" ht="60" customHeight="1">
      <x:c r="A13" s="11"/>
      <x:c r="B13" s="11"/>
      <x:c r="C13" s="11"/>
      <x:c r="D13" s="14"/>
      <x:c r="E13" s="14"/>
      <x:c r="F13" s="11"/>
      <x:c r="G13" s="11"/>
      <x:c r="H13" s="15"/>
      <x:c r="I13" s="11"/>
      <x:c r="J13" s="11"/>
    </x:row>
    <x:row r="14" ht="60" customHeight="1">
      <x:c r="A14" s="11"/>
      <x:c r="B14" s="11"/>
      <x:c r="C14" s="11"/>
      <x:c r="D14" s="14"/>
      <x:c r="E14" s="14"/>
      <x:c r="F14" s="11"/>
      <x:c r="G14" s="11"/>
      <x:c r="H14" s="15"/>
      <x:c r="I14" s="11"/>
      <x:c r="J14" s="11"/>
    </x:row>
    <x:row r="15" ht="60" customHeight="1">
      <x:c r="A15" s="11"/>
      <x:c r="B15" s="11"/>
      <x:c r="C15" s="11"/>
      <x:c r="D15" s="14"/>
      <x:c r="E15" s="14"/>
      <x:c r="F15" s="11"/>
      <x:c r="G15" s="11"/>
      <x:c r="H15" s="15"/>
      <x:c r="I15" s="11"/>
      <x:c r="J15" s="11"/>
    </x:row>
    <x:row r="16" ht="60" customHeight="1">
      <x:c r="A16" s="11"/>
      <x:c r="B16" s="11"/>
      <x:c r="C16" s="11"/>
      <x:c r="D16" s="14"/>
      <x:c r="E16" s="14"/>
      <x:c r="F16" s="11"/>
      <x:c r="G16" s="11"/>
      <x:c r="H16" s="15"/>
      <x:c r="I16" s="11"/>
      <x:c r="J16" s="11"/>
    </x:row>
    <x:row r="17" ht="60" customHeight="1">
      <x:c r="A17" s="11"/>
      <x:c r="B17" s="11"/>
      <x:c r="C17" s="11"/>
      <x:c r="D17" s="14"/>
      <x:c r="E17" s="14"/>
      <x:c r="F17" s="11"/>
      <x:c r="G17" s="11"/>
      <x:c r="H17" s="15"/>
      <x:c r="I17" s="11"/>
      <x:c r="J17" s="11"/>
    </x:row>
    <x:row r="18" ht="60" customHeight="1">
      <x:c r="A18" s="11"/>
      <x:c r="B18" s="11"/>
      <x:c r="C18" s="11"/>
      <x:c r="D18" s="14"/>
      <x:c r="E18" s="14"/>
      <x:c r="F18" s="11"/>
      <x:c r="G18" s="11"/>
      <x:c r="H18" s="15"/>
      <x:c r="I18" s="11"/>
      <x:c r="J18" s="11"/>
    </x:row>
    <x:row r="19" ht="60" customHeight="1">
      <x:c r="A19" s="11"/>
      <x:c r="B19" s="11"/>
      <x:c r="C19" s="11"/>
      <x:c r="D19" s="14"/>
      <x:c r="E19" s="14"/>
      <x:c r="F19" s="11"/>
      <x:c r="G19" s="11"/>
      <x:c r="H19" s="15"/>
      <x:c r="I19" s="11"/>
      <x:c r="J19" s="11"/>
    </x:row>
    <x:row r="20" ht="60" customHeight="1">
      <x:c r="A20" s="11"/>
      <x:c r="B20" s="11"/>
      <x:c r="C20" s="11"/>
      <x:c r="D20" s="14"/>
      <x:c r="E20" s="14"/>
      <x:c r="F20" s="11"/>
      <x:c r="G20" s="11"/>
      <x:c r="H20" s="15"/>
      <x:c r="I20" s="11"/>
      <x:c r="J20" s="11"/>
    </x:row>
    <x:row r="21" ht="60" customHeight="1">
      <x:c r="A21" s="11"/>
      <x:c r="B21" s="11"/>
      <x:c r="C21" s="11"/>
      <x:c r="D21" s="14"/>
      <x:c r="E21" s="14"/>
      <x:c r="F21" s="11"/>
      <x:c r="G21" s="11"/>
      <x:c r="H21" s="15"/>
      <x:c r="I21" s="11"/>
      <x:c r="J21" s="11"/>
    </x:row>
    <x:row r="22" ht="60" customHeight="1">
      <x:c r="A22" s="11"/>
      <x:c r="B22" s="11"/>
      <x:c r="C22" s="11"/>
      <x:c r="D22" s="14"/>
      <x:c r="E22" s="14"/>
      <x:c r="F22" s="11"/>
      <x:c r="G22" s="11"/>
      <x:c r="H22" s="15"/>
      <x:c r="I22" s="11"/>
      <x:c r="J22" s="11"/>
    </x:row>
    <x:row r="23" ht="60" customHeight="1">
      <x:c r="A23" s="11"/>
      <x:c r="B23" s="11"/>
      <x:c r="C23" s="11"/>
      <x:c r="D23" s="14"/>
      <x:c r="E23" s="14"/>
      <x:c r="F23" s="11"/>
      <x:c r="G23" s="11"/>
      <x:c r="H23" s="15"/>
      <x:c r="I23" s="11"/>
      <x:c r="J23" s="11"/>
    </x:row>
    <x:row r="24" ht="60" customHeight="1">
      <x:c r="A24" s="11"/>
      <x:c r="B24" s="11"/>
      <x:c r="C24" s="11"/>
      <x:c r="D24" s="14"/>
      <x:c r="E24" s="14"/>
      <x:c r="F24" s="11"/>
      <x:c r="G24" s="11"/>
      <x:c r="H24" s="15"/>
      <x:c r="I24" s="11"/>
      <x:c r="J24" s="11"/>
    </x:row>
    <x:row r="25" ht="60" customHeight="1">
      <x:c r="A25" s="11"/>
      <x:c r="B25" s="11"/>
      <x:c r="C25" s="11"/>
      <x:c r="D25" s="14"/>
      <x:c r="E25" s="14"/>
      <x:c r="F25" s="11"/>
      <x:c r="G25" s="11"/>
      <x:c r="H25" s="15"/>
      <x:c r="I25" s="11"/>
      <x:c r="J25" s="11"/>
    </x:row>
    <x:row r="26" ht="60" customHeight="1">
      <x:c r="A26" s="11"/>
      <x:c r="B26" s="11"/>
      <x:c r="C26" s="11"/>
      <x:c r="D26" s="14"/>
      <x:c r="E26" s="14"/>
      <x:c r="F26" s="11"/>
      <x:c r="G26" s="11"/>
      <x:c r="H26" s="15"/>
      <x:c r="I26" s="11"/>
      <x:c r="J26" s="11"/>
    </x:row>
    <x:row r="27" ht="60" customHeight="1">
      <x:c r="A27" s="11"/>
      <x:c r="B27" s="11"/>
      <x:c r="C27" s="11"/>
      <x:c r="D27" s="14"/>
      <x:c r="E27" s="14"/>
      <x:c r="F27" s="11"/>
      <x:c r="G27" s="11"/>
      <x:c r="H27" s="15"/>
      <x:c r="I27" s="11"/>
      <x:c r="J27" s="11"/>
    </x:row>
    <x:row r="28" ht="60" customHeight="1">
      <x:c r="A28" s="11"/>
      <x:c r="B28" s="11"/>
      <x:c r="C28" s="11"/>
      <x:c r="D28" s="14"/>
      <x:c r="E28" s="14"/>
      <x:c r="F28" s="11"/>
      <x:c r="G28" s="11"/>
      <x:c r="H28" s="15"/>
      <x:c r="I28" s="11"/>
      <x:c r="J28" s="11"/>
    </x:row>
    <x:row r="29" ht="60" customHeight="1">
      <x:c r="A29" s="11"/>
      <x:c r="B29" s="11"/>
      <x:c r="C29" s="11"/>
      <x:c r="D29" s="14"/>
      <x:c r="E29" s="14"/>
      <x:c r="F29" s="11"/>
      <x:c r="G29" s="11"/>
      <x:c r="H29" s="15"/>
      <x:c r="I29" s="11"/>
      <x:c r="J29" s="11"/>
    </x:row>
    <x:row r="30" ht="60" customHeight="1">
      <x:c r="A30" s="11"/>
      <x:c r="B30" s="11"/>
      <x:c r="C30" s="11"/>
      <x:c r="D30" s="14"/>
      <x:c r="E30" s="14"/>
      <x:c r="F30" s="11"/>
      <x:c r="G30" s="11"/>
      <x:c r="H30" s="15"/>
      <x:c r="I30" s="11"/>
      <x:c r="J30" s="11"/>
    </x:row>
    <x:row r="31" ht="60" customHeight="1">
      <x:c r="A31" s="11"/>
      <x:c r="B31" s="11"/>
      <x:c r="C31" s="11"/>
      <x:c r="D31" s="14"/>
      <x:c r="E31" s="14"/>
      <x:c r="F31" s="11"/>
      <x:c r="G31" s="11"/>
      <x:c r="H31" s="15"/>
      <x:c r="I31" s="11"/>
      <x:c r="J31" s="11"/>
    </x:row>
    <x:row r="32" ht="60" customHeight="1">
      <x:c r="A32" s="11"/>
      <x:c r="B32" s="11"/>
      <x:c r="C32" s="11"/>
      <x:c r="D32" s="14"/>
      <x:c r="E32" s="14"/>
      <x:c r="F32" s="11"/>
      <x:c r="G32" s="11"/>
      <x:c r="H32" s="15"/>
      <x:c r="I32" s="11"/>
      <x:c r="J32" s="11"/>
    </x:row>
    <x:row r="33" ht="60" customHeight="1">
      <x:c r="A33" s="11"/>
      <x:c r="B33" s="11"/>
      <x:c r="C33" s="11"/>
      <x:c r="D33" s="14"/>
      <x:c r="E33" s="14"/>
      <x:c r="F33" s="11"/>
      <x:c r="G33" s="11"/>
      <x:c r="H33" s="15"/>
      <x:c r="I33" s="11"/>
      <x:c r="J33" s="11"/>
    </x:row>
    <x:row r="34" ht="60" customHeight="1">
      <x:c r="A34" s="11"/>
      <x:c r="B34" s="11"/>
      <x:c r="C34" s="11"/>
      <x:c r="D34" s="14"/>
      <x:c r="E34" s="14"/>
      <x:c r="F34" s="11"/>
      <x:c r="G34" s="11"/>
      <x:c r="H34" s="15"/>
      <x:c r="I34" s="11"/>
      <x:c r="J34" s="11"/>
    </x:row>
    <x:row r="35" ht="60" customHeight="1">
      <x:c r="A35" s="11"/>
      <x:c r="B35" s="11"/>
      <x:c r="C35" s="11"/>
      <x:c r="D35" s="14"/>
      <x:c r="E35" s="14"/>
      <x:c r="F35" s="11"/>
      <x:c r="G35" s="11"/>
      <x:c r="H35" s="15"/>
      <x:c r="I35" s="11"/>
      <x:c r="J35" s="11"/>
    </x:row>
    <x:row r="36" ht="60" customHeight="1">
      <x:c r="A36" s="11"/>
      <x:c r="B36" s="11"/>
      <x:c r="C36" s="11"/>
      <x:c r="D36" s="14"/>
      <x:c r="E36" s="14"/>
      <x:c r="F36" s="11"/>
      <x:c r="G36" s="11"/>
      <x:c r="H36" s="15"/>
      <x:c r="I36" s="11"/>
      <x:c r="J36" s="11"/>
    </x:row>
    <x:row r="37" ht="60" customHeight="1">
      <x:c r="A37" s="11"/>
      <x:c r="B37" s="11"/>
      <x:c r="C37" s="11"/>
      <x:c r="D37" s="14"/>
      <x:c r="E37" s="14"/>
      <x:c r="F37" s="11"/>
      <x:c r="G37" s="11"/>
      <x:c r="H37" s="15"/>
      <x:c r="I37" s="11"/>
      <x:c r="J37" s="11"/>
    </x:row>
    <x:row r="38" ht="60" customHeight="1">
      <x:c r="A38" s="11"/>
      <x:c r="B38" s="11"/>
      <x:c r="C38" s="11"/>
      <x:c r="D38" s="14"/>
      <x:c r="E38" s="14"/>
      <x:c r="F38" s="11"/>
      <x:c r="G38" s="11"/>
      <x:c r="H38" s="15"/>
      <x:c r="I38" s="11"/>
      <x:c r="J38" s="11"/>
    </x:row>
    <x:row r="39" ht="60" customHeight="1">
      <x:c r="A39" s="11"/>
      <x:c r="B39" s="11"/>
      <x:c r="C39" s="11"/>
      <x:c r="D39" s="14"/>
      <x:c r="E39" s="14"/>
      <x:c r="F39" s="11"/>
      <x:c r="G39" s="11"/>
      <x:c r="H39" s="15"/>
      <x:c r="I39" s="11"/>
      <x:c r="J39" s="11"/>
    </x:row>
    <x:row r="40" ht="60" customHeight="1">
      <x:c r="A40" s="11"/>
      <x:c r="B40" s="11"/>
      <x:c r="C40" s="11"/>
      <x:c r="D40" s="14"/>
      <x:c r="E40" s="14"/>
      <x:c r="F40" s="11"/>
      <x:c r="G40" s="11"/>
      <x:c r="H40" s="15"/>
      <x:c r="I40" s="11"/>
      <x:c r="J40" s="11"/>
    </x:row>
    <x:row r="41" ht="60" customHeight="1">
      <x:c r="A41" s="11"/>
      <x:c r="B41" s="11"/>
      <x:c r="C41" s="11"/>
      <x:c r="D41" s="14"/>
      <x:c r="E41" s="14"/>
      <x:c r="F41" s="11"/>
      <x:c r="G41" s="11"/>
      <x:c r="H41" s="15"/>
      <x:c r="I41" s="11"/>
      <x:c r="J41" s="11"/>
    </x:row>
    <x:row r="42" ht="60" customHeight="1">
      <x:c r="A42" s="11"/>
      <x:c r="B42" s="11"/>
      <x:c r="C42" s="11"/>
      <x:c r="D42" s="14"/>
      <x:c r="E42" s="14"/>
      <x:c r="F42" s="11"/>
      <x:c r="G42" s="11"/>
      <x:c r="H42" s="15"/>
      <x:c r="I42" s="11"/>
      <x:c r="J42" s="11"/>
    </x:row>
    <x:row r="43" ht="60" customHeight="1">
      <x:c r="A43" s="11"/>
      <x:c r="B43" s="11"/>
      <x:c r="C43" s="11"/>
      <x:c r="D43" s="14"/>
      <x:c r="E43" s="14"/>
      <x:c r="F43" s="11"/>
      <x:c r="G43" s="11"/>
      <x:c r="H43" s="15"/>
      <x:c r="I43" s="11"/>
      <x:c r="J43" s="11"/>
    </x:row>
    <x:row r="44" ht="60" customHeight="1">
      <x:c r="A44" s="11"/>
      <x:c r="B44" s="11"/>
      <x:c r="C44" s="11"/>
      <x:c r="D44" s="14"/>
      <x:c r="E44" s="14"/>
      <x:c r="F44" s="11"/>
      <x:c r="G44" s="11"/>
      <x:c r="H44" s="15"/>
      <x:c r="I44" s="11"/>
      <x:c r="J44" s="11"/>
    </x:row>
    <x:row r="45" ht="60" customHeight="1">
      <x:c r="A45" s="11"/>
      <x:c r="B45" s="11"/>
      <x:c r="C45" s="11"/>
      <x:c r="D45" s="14"/>
      <x:c r="E45" s="14"/>
      <x:c r="F45" s="11"/>
      <x:c r="G45" s="11"/>
      <x:c r="H45" s="15"/>
      <x:c r="I45" s="11"/>
      <x:c r="J45" s="11"/>
    </x:row>
    <x:row r="46" ht="60" customHeight="1">
      <x:c r="A46" s="11"/>
      <x:c r="B46" s="11"/>
      <x:c r="C46" s="11"/>
      <x:c r="D46" s="14"/>
      <x:c r="E46" s="14"/>
      <x:c r="F46" s="11"/>
      <x:c r="G46" s="11"/>
      <x:c r="H46" s="15"/>
      <x:c r="I46" s="11"/>
      <x:c r="J46" s="11"/>
    </x:row>
    <x:row r="47" ht="60" customHeight="1">
      <x:c r="A47" s="11"/>
      <x:c r="B47" s="11"/>
      <x:c r="C47" s="11"/>
      <x:c r="D47" s="14"/>
      <x:c r="E47" s="14"/>
      <x:c r="F47" s="11"/>
      <x:c r="G47" s="11"/>
      <x:c r="H47" s="15"/>
      <x:c r="I47" s="11"/>
      <x:c r="J47" s="11"/>
    </x:row>
    <x:row r="48" ht="60" customHeight="1">
      <x:c r="A48" s="11"/>
      <x:c r="B48" s="11"/>
      <x:c r="C48" s="11"/>
      <x:c r="D48" s="14"/>
      <x:c r="E48" s="14"/>
      <x:c r="F48" s="11"/>
      <x:c r="G48" s="11"/>
      <x:c r="H48" s="15"/>
      <x:c r="I48" s="11"/>
      <x:c r="J48" s="11"/>
    </x:row>
    <x:row r="49" ht="60" customHeight="1">
      <x:c r="A49" s="11"/>
      <x:c r="B49" s="11"/>
      <x:c r="C49" s="11"/>
      <x:c r="D49" s="14"/>
      <x:c r="E49" s="14"/>
      <x:c r="F49" s="11"/>
      <x:c r="G49" s="11"/>
      <x:c r="H49" s="15"/>
      <x:c r="I49" s="11"/>
      <x:c r="J49" s="11"/>
    </x:row>
    <x:row r="50" ht="60" customHeight="1">
      <x:c r="A50" s="11"/>
      <x:c r="B50" s="11"/>
      <x:c r="C50" s="11"/>
      <x:c r="D50" s="14"/>
      <x:c r="E50" s="14"/>
      <x:c r="F50" s="11"/>
      <x:c r="G50" s="11"/>
      <x:c r="H50" s="15"/>
      <x:c r="I50" s="11"/>
      <x:c r="J50" s="11"/>
    </x:row>
    <x:row r="51" ht="60" customHeight="1">
      <x:c r="A51" s="11"/>
      <x:c r="B51" s="11"/>
      <x:c r="C51" s="11"/>
      <x:c r="D51" s="14"/>
      <x:c r="E51" s="14"/>
      <x:c r="F51" s="11"/>
      <x:c r="G51" s="11"/>
      <x:c r="H51" s="15"/>
      <x:c r="I51" s="11"/>
      <x:c r="J51" s="11"/>
    </x:row>
    <x:row r="52" ht="60" customHeight="1">
      <x:c r="A52" s="11"/>
      <x:c r="B52" s="11"/>
      <x:c r="C52" s="11"/>
      <x:c r="D52" s="14"/>
      <x:c r="E52" s="14"/>
      <x:c r="F52" s="11"/>
      <x:c r="G52" s="11"/>
      <x:c r="H52" s="15"/>
      <x:c r="I52" s="11"/>
      <x:c r="J52" s="11"/>
    </x:row>
    <x:row r="53" ht="60" customHeight="1">
      <x:c r="A53" s="11"/>
      <x:c r="B53" s="11"/>
      <x:c r="C53" s="11"/>
      <x:c r="D53" s="14"/>
      <x:c r="E53" s="14"/>
      <x:c r="F53" s="11"/>
      <x:c r="G53" s="11"/>
      <x:c r="H53" s="15"/>
      <x:c r="I53" s="11"/>
      <x:c r="J53" s="11"/>
    </x:row>
    <x:row r="54" ht="60" customHeight="1">
      <x:c r="A54" s="11"/>
      <x:c r="B54" s="11"/>
      <x:c r="C54" s="11"/>
      <x:c r="D54" s="14"/>
      <x:c r="E54" s="14"/>
      <x:c r="F54" s="11"/>
      <x:c r="G54" s="11"/>
      <x:c r="H54" s="15"/>
      <x:c r="I54" s="11"/>
      <x:c r="J54" s="11"/>
    </x:row>
    <x:row r="55" ht="60" customHeight="1">
      <x:c r="A55" s="11"/>
      <x:c r="B55" s="11"/>
      <x:c r="C55" s="11"/>
      <x:c r="D55" s="14"/>
      <x:c r="E55" s="14"/>
      <x:c r="F55" s="11"/>
      <x:c r="G55" s="11"/>
      <x:c r="H55" s="15"/>
      <x:c r="I55" s="11"/>
      <x:c r="J55" s="11"/>
    </x:row>
    <x:row r="56" ht="60" customHeight="1">
      <x:c r="A56" s="11"/>
      <x:c r="B56" s="11"/>
      <x:c r="C56" s="11"/>
      <x:c r="D56" s="14"/>
      <x:c r="E56" s="14"/>
      <x:c r="F56" s="11"/>
      <x:c r="G56" s="11"/>
      <x:c r="H56" s="15"/>
      <x:c r="I56" s="11"/>
      <x:c r="J56" s="11"/>
    </x:row>
    <x:row r="57" ht="60" customHeight="1">
      <x:c r="A57" s="11"/>
      <x:c r="B57" s="11"/>
      <x:c r="C57" s="11"/>
      <x:c r="D57" s="14"/>
      <x:c r="E57" s="14"/>
      <x:c r="F57" s="11"/>
      <x:c r="G57" s="11"/>
      <x:c r="H57" s="15"/>
      <x:c r="I57" s="11"/>
      <x:c r="J57" s="11"/>
    </x:row>
    <x:row r="58" ht="60" customHeight="1">
      <x:c r="A58" s="11"/>
      <x:c r="B58" s="11"/>
      <x:c r="C58" s="11"/>
      <x:c r="D58" s="14"/>
      <x:c r="E58" s="14"/>
      <x:c r="F58" s="11"/>
      <x:c r="G58" s="11"/>
      <x:c r="H58" s="15"/>
      <x:c r="I58" s="11"/>
      <x:c r="J58" s="11"/>
    </x:row>
    <x:row r="59" ht="60" customHeight="1">
      <x:c r="A59" s="11"/>
      <x:c r="B59" s="11"/>
      <x:c r="C59" s="11"/>
      <x:c r="D59" s="14"/>
      <x:c r="E59" s="14"/>
      <x:c r="F59" s="11"/>
      <x:c r="G59" s="11"/>
      <x:c r="H59" s="15"/>
      <x:c r="I59" s="11"/>
      <x:c r="J59" s="11"/>
    </x:row>
    <x:row r="60" ht="60" customHeight="1">
      <x:c r="A60" s="11"/>
      <x:c r="B60" s="11"/>
      <x:c r="C60" s="11"/>
      <x:c r="D60" s="14"/>
      <x:c r="E60" s="14"/>
      <x:c r="F60" s="11"/>
      <x:c r="G60" s="11"/>
      <x:c r="H60" s="15"/>
      <x:c r="I60" s="11"/>
      <x:c r="J60" s="11"/>
    </x:row>
    <x:row r="61" ht="60" customHeight="1">
      <x:c r="A61" s="11"/>
      <x:c r="B61" s="11"/>
      <x:c r="C61" s="11"/>
      <x:c r="D61" s="14"/>
      <x:c r="E61" s="14"/>
      <x:c r="F61" s="11"/>
      <x:c r="G61" s="11"/>
      <x:c r="H61" s="15"/>
      <x:c r="I61" s="11"/>
      <x:c r="J61" s="11"/>
    </x:row>
    <x:row r="62" ht="60" customHeight="1">
      <x:c r="A62" s="11"/>
      <x:c r="B62" s="11"/>
      <x:c r="C62" s="11"/>
      <x:c r="D62" s="14"/>
      <x:c r="E62" s="14"/>
      <x:c r="F62" s="11"/>
      <x:c r="G62" s="11"/>
      <x:c r="H62" s="15"/>
      <x:c r="I62" s="11"/>
      <x:c r="J62" s="11"/>
    </x:row>
    <x:row r="63" ht="60" customHeight="1">
      <x:c r="A63" s="11"/>
      <x:c r="B63" s="11"/>
      <x:c r="C63" s="11"/>
      <x:c r="D63" s="14"/>
      <x:c r="E63" s="14"/>
      <x:c r="F63" s="11"/>
      <x:c r="G63" s="11"/>
      <x:c r="H63" s="15"/>
      <x:c r="I63" s="11"/>
      <x:c r="J63" s="11"/>
    </x:row>
    <x:row r="64" ht="60" customHeight="1">
      <x:c r="A64" s="11"/>
      <x:c r="B64" s="11"/>
      <x:c r="C64" s="11"/>
      <x:c r="D64" s="14"/>
      <x:c r="E64" s="14"/>
      <x:c r="F64" s="11"/>
      <x:c r="G64" s="11"/>
      <x:c r="H64" s="15"/>
      <x:c r="I64" s="11"/>
      <x:c r="J64" s="11"/>
    </x:row>
    <x:row r="65" ht="60" customHeight="1">
      <x:c r="A65" s="11"/>
      <x:c r="B65" s="11"/>
      <x:c r="C65" s="11"/>
      <x:c r="D65" s="14"/>
      <x:c r="E65" s="14"/>
      <x:c r="F65" s="11"/>
      <x:c r="G65" s="11"/>
      <x:c r="H65" s="15"/>
      <x:c r="I65" s="11"/>
      <x:c r="J65" s="11"/>
    </x:row>
    <x:row r="66" ht="60" customHeight="1">
      <x:c r="A66" s="11"/>
      <x:c r="B66" s="11"/>
      <x:c r="C66" s="11"/>
      <x:c r="D66" s="14"/>
      <x:c r="E66" s="14"/>
      <x:c r="F66" s="11"/>
      <x:c r="G66" s="11"/>
      <x:c r="H66" s="15"/>
      <x:c r="I66" s="11"/>
      <x:c r="J66" s="11"/>
    </x:row>
    <x:row r="67" ht="60" customHeight="1">
      <x:c r="A67" s="11"/>
      <x:c r="B67" s="11"/>
      <x:c r="C67" s="11"/>
      <x:c r="D67" s="14"/>
      <x:c r="E67" s="14"/>
      <x:c r="F67" s="11"/>
      <x:c r="G67" s="11"/>
      <x:c r="H67" s="15"/>
      <x:c r="I67" s="11"/>
      <x:c r="J67" s="11"/>
    </x:row>
    <x:row r="68" ht="60" customHeight="1">
      <x:c r="A68" s="11"/>
      <x:c r="B68" s="11"/>
      <x:c r="C68" s="11"/>
      <x:c r="D68" s="14"/>
      <x:c r="E68" s="14"/>
      <x:c r="F68" s="11"/>
      <x:c r="G68" s="11"/>
      <x:c r="H68" s="15"/>
      <x:c r="I68" s="11"/>
      <x:c r="J68" s="11"/>
    </x:row>
    <x:row r="69" ht="60" customHeight="1">
      <x:c r="A69" s="11"/>
      <x:c r="B69" s="11"/>
      <x:c r="C69" s="11"/>
      <x:c r="D69" s="14"/>
      <x:c r="E69" s="14"/>
      <x:c r="F69" s="11"/>
      <x:c r="G69" s="11"/>
      <x:c r="H69" s="15"/>
      <x:c r="I69" s="11"/>
      <x:c r="J69" s="11"/>
    </x:row>
    <x:row r="70" ht="60" customHeight="1">
      <x:c r="A70" s="11"/>
      <x:c r="B70" s="11"/>
      <x:c r="C70" s="11"/>
      <x:c r="D70" s="14"/>
      <x:c r="E70" s="14"/>
      <x:c r="F70" s="11"/>
      <x:c r="G70" s="11"/>
      <x:c r="H70" s="15"/>
      <x:c r="I70" s="11"/>
      <x:c r="J70" s="11"/>
    </x:row>
    <x:row r="71" ht="60" customHeight="1">
      <x:c r="A71" s="11"/>
      <x:c r="B71" s="11"/>
      <x:c r="C71" s="11"/>
      <x:c r="D71" s="14"/>
      <x:c r="E71" s="14"/>
      <x:c r="F71" s="11"/>
      <x:c r="G71" s="11"/>
      <x:c r="H71" s="15"/>
      <x:c r="I71" s="11"/>
      <x:c r="J71" s="11"/>
    </x:row>
    <x:row r="72" ht="60" customHeight="1">
      <x:c r="A72" s="11"/>
      <x:c r="B72" s="11"/>
      <x:c r="C72" s="11"/>
      <x:c r="D72" s="14"/>
      <x:c r="E72" s="14"/>
      <x:c r="F72" s="11"/>
      <x:c r="G72" s="11"/>
      <x:c r="H72" s="15"/>
      <x:c r="I72" s="11"/>
      <x:c r="J72" s="11"/>
    </x:row>
    <x:row r="73" ht="60" customHeight="1">
      <x:c r="A73" s="11"/>
      <x:c r="B73" s="11"/>
      <x:c r="C73" s="11"/>
      <x:c r="D73" s="14"/>
      <x:c r="E73" s="14"/>
      <x:c r="F73" s="11"/>
      <x:c r="G73" s="11"/>
      <x:c r="H73" s="15"/>
      <x:c r="I73" s="11"/>
      <x:c r="J73" s="11"/>
    </x:row>
    <x:row r="74" ht="60" customHeight="1">
      <x:c r="A74" s="11"/>
      <x:c r="B74" s="11"/>
      <x:c r="C74" s="11"/>
      <x:c r="D74" s="14"/>
      <x:c r="E74" s="14"/>
      <x:c r="F74" s="11"/>
      <x:c r="G74" s="11"/>
      <x:c r="H74" s="15"/>
      <x:c r="I74" s="11"/>
      <x:c r="J74" s="11"/>
    </x:row>
    <x:row r="75" ht="60" customHeight="1">
      <x:c r="A75" s="11"/>
      <x:c r="B75" s="11"/>
      <x:c r="C75" s="11"/>
      <x:c r="D75" s="14"/>
      <x:c r="E75" s="14"/>
      <x:c r="F75" s="11"/>
      <x:c r="G75" s="11"/>
      <x:c r="H75" s="15"/>
      <x:c r="I75" s="11"/>
      <x:c r="J75" s="11"/>
    </x:row>
    <x:row r="76" ht="60" customHeight="1">
      <x:c r="A76" s="11"/>
      <x:c r="B76" s="11"/>
      <x:c r="C76" s="11"/>
      <x:c r="D76" s="14"/>
      <x:c r="E76" s="14"/>
      <x:c r="F76" s="11"/>
      <x:c r="G76" s="11"/>
      <x:c r="H76" s="15"/>
      <x:c r="I76" s="11"/>
      <x:c r="J76" s="11"/>
    </x:row>
    <x:row r="77" ht="60" customHeight="1">
      <x:c r="A77" s="11"/>
      <x:c r="B77" s="11"/>
      <x:c r="C77" s="11"/>
      <x:c r="D77" s="14"/>
      <x:c r="E77" s="14"/>
      <x:c r="F77" s="11"/>
      <x:c r="G77" s="11"/>
      <x:c r="H77" s="15"/>
      <x:c r="I77" s="11"/>
      <x:c r="J77" s="11"/>
    </x:row>
    <x:row r="78" ht="60" customHeight="1">
      <x:c r="A78" s="11"/>
      <x:c r="B78" s="11"/>
      <x:c r="C78" s="11"/>
      <x:c r="D78" s="14"/>
      <x:c r="E78" s="14"/>
      <x:c r="F78" s="11"/>
      <x:c r="G78" s="11"/>
      <x:c r="H78" s="15"/>
      <x:c r="I78" s="11"/>
      <x:c r="J78" s="11"/>
    </x:row>
    <x:row r="79" ht="60" customHeight="1">
      <x:c r="A79" s="11"/>
      <x:c r="B79" s="11"/>
      <x:c r="C79" s="11"/>
      <x:c r="D79" s="14"/>
      <x:c r="E79" s="14"/>
      <x:c r="F79" s="11"/>
      <x:c r="G79" s="11"/>
      <x:c r="H79" s="15"/>
      <x:c r="I79" s="11"/>
      <x:c r="J79" s="11"/>
    </x:row>
    <x:row r="80" ht="60" customHeight="1">
      <x:c r="A80" s="11"/>
      <x:c r="B80" s="11"/>
      <x:c r="C80" s="11"/>
      <x:c r="D80" s="14"/>
      <x:c r="E80" s="14"/>
      <x:c r="F80" s="11"/>
      <x:c r="G80" s="11"/>
      <x:c r="H80" s="15"/>
      <x:c r="I80" s="11"/>
      <x:c r="J80" s="11"/>
    </x:row>
    <x:row r="81" ht="60" customHeight="1">
      <x:c r="A81" s="11"/>
      <x:c r="B81" s="11"/>
      <x:c r="C81" s="11"/>
      <x:c r="D81" s="14"/>
      <x:c r="E81" s="14"/>
      <x:c r="F81" s="11"/>
      <x:c r="G81" s="11"/>
      <x:c r="H81" s="15"/>
      <x:c r="I81" s="11"/>
      <x:c r="J81" s="11"/>
    </x:row>
    <x:row r="82" ht="60" customHeight="1">
      <x:c r="A82" s="11"/>
      <x:c r="B82" s="11"/>
      <x:c r="C82" s="11"/>
      <x:c r="D82" s="14"/>
      <x:c r="E82" s="14"/>
      <x:c r="F82" s="11"/>
      <x:c r="G82" s="11"/>
      <x:c r="H82" s="15"/>
      <x:c r="I82" s="11"/>
      <x:c r="J82" s="11"/>
    </x:row>
    <x:row r="83" ht="60" customHeight="1">
      <x:c r="A83" s="11"/>
      <x:c r="B83" s="11"/>
      <x:c r="C83" s="11"/>
      <x:c r="D83" s="14"/>
      <x:c r="E83" s="14"/>
      <x:c r="F83" s="11"/>
      <x:c r="G83" s="11"/>
      <x:c r="H83" s="15"/>
      <x:c r="I83" s="11"/>
      <x:c r="J83" s="11"/>
    </x:row>
    <x:row r="84" ht="60" customHeight="1">
      <x:c r="A84" s="11"/>
      <x:c r="B84" s="11"/>
      <x:c r="C84" s="11"/>
      <x:c r="D84" s="14"/>
      <x:c r="E84" s="14"/>
      <x:c r="F84" s="11"/>
      <x:c r="G84" s="11"/>
      <x:c r="H84" s="15"/>
      <x:c r="I84" s="11"/>
      <x:c r="J84" s="11"/>
    </x:row>
    <x:row r="85" ht="60" customHeight="1">
      <x:c r="A85" s="11"/>
      <x:c r="B85" s="11"/>
      <x:c r="C85" s="11"/>
      <x:c r="D85" s="14"/>
      <x:c r="E85" s="14"/>
      <x:c r="F85" s="11"/>
      <x:c r="G85" s="11"/>
      <x:c r="H85" s="15"/>
      <x:c r="I85" s="11"/>
      <x:c r="J85" s="11"/>
    </x:row>
    <x:row r="86" ht="60" customHeight="1">
      <x:c r="A86" s="11"/>
      <x:c r="B86" s="11"/>
      <x:c r="C86" s="11"/>
      <x:c r="D86" s="14"/>
      <x:c r="E86" s="14"/>
      <x:c r="F86" s="11"/>
      <x:c r="G86" s="11"/>
      <x:c r="H86" s="15"/>
      <x:c r="I86" s="11"/>
      <x:c r="J86" s="11"/>
    </x:row>
    <x:row r="87" ht="60" customHeight="1">
      <x:c r="A87" s="11"/>
      <x:c r="B87" s="11"/>
      <x:c r="C87" s="11"/>
      <x:c r="D87" s="14"/>
      <x:c r="E87" s="14"/>
      <x:c r="F87" s="11"/>
      <x:c r="G87" s="11"/>
      <x:c r="H87" s="15"/>
      <x:c r="I87" s="11"/>
      <x:c r="J87" s="11"/>
    </x:row>
    <x:row r="88" ht="60" customHeight="1">
      <x:c r="A88" s="11"/>
      <x:c r="B88" s="11"/>
      <x:c r="C88" s="11"/>
      <x:c r="D88" s="14"/>
      <x:c r="E88" s="14"/>
      <x:c r="F88" s="11"/>
      <x:c r="G88" s="11"/>
      <x:c r="H88" s="15"/>
      <x:c r="I88" s="11"/>
      <x:c r="J88" s="11"/>
    </x:row>
    <x:row r="89" ht="60" customHeight="1">
      <x:c r="A89" s="11"/>
      <x:c r="B89" s="11"/>
      <x:c r="C89" s="11"/>
      <x:c r="D89" s="14"/>
      <x:c r="E89" s="14"/>
      <x:c r="F89" s="11"/>
      <x:c r="G89" s="11"/>
      <x:c r="H89" s="15"/>
      <x:c r="I89" s="11"/>
      <x:c r="J89" s="11"/>
    </x:row>
    <x:row r="90" ht="60" customHeight="1">
      <x:c r="A90" s="11"/>
      <x:c r="B90" s="11"/>
      <x:c r="C90" s="11"/>
      <x:c r="D90" s="14"/>
      <x:c r="E90" s="14"/>
      <x:c r="F90" s="11"/>
      <x:c r="G90" s="11"/>
      <x:c r="H90" s="15"/>
      <x:c r="I90" s="11"/>
      <x:c r="J90" s="11"/>
    </x:row>
    <x:row r="91" ht="60" customHeight="1">
      <x:c r="A91" s="11"/>
      <x:c r="B91" s="11"/>
      <x:c r="C91" s="11"/>
      <x:c r="D91" s="14"/>
      <x:c r="E91" s="14"/>
      <x:c r="F91" s="11"/>
      <x:c r="G91" s="11"/>
      <x:c r="H91" s="15"/>
      <x:c r="I91" s="11"/>
      <x:c r="J91" s="11"/>
    </x:row>
    <x:row r="92" ht="60" customHeight="1">
      <x:c r="A92" s="11"/>
      <x:c r="B92" s="11"/>
      <x:c r="C92" s="11"/>
      <x:c r="D92" s="14"/>
      <x:c r="E92" s="14"/>
      <x:c r="F92" s="11"/>
      <x:c r="G92" s="11"/>
      <x:c r="H92" s="15"/>
      <x:c r="I92" s="11"/>
      <x:c r="J92" s="11"/>
    </x:row>
    <x:row r="93" ht="60" customHeight="1">
      <x:c r="A93" s="11"/>
      <x:c r="B93" s="11"/>
      <x:c r="C93" s="11"/>
      <x:c r="D93" s="14"/>
      <x:c r="E93" s="14"/>
      <x:c r="F93" s="11"/>
      <x:c r="G93" s="11"/>
      <x:c r="H93" s="15"/>
      <x:c r="I93" s="11"/>
      <x:c r="J93" s="11"/>
    </x:row>
    <x:row r="94" ht="60" customHeight="1">
      <x:c r="A94" s="11"/>
      <x:c r="B94" s="11"/>
      <x:c r="C94" s="11"/>
      <x:c r="D94" s="14"/>
      <x:c r="E94" s="14"/>
      <x:c r="F94" s="11"/>
      <x:c r="G94" s="11"/>
      <x:c r="H94" s="15"/>
      <x:c r="I94" s="11"/>
      <x:c r="J94" s="11"/>
    </x:row>
    <x:row r="95" ht="60" customHeight="1">
      <x:c r="A95" s="11"/>
      <x:c r="B95" s="11"/>
      <x:c r="C95" s="11"/>
      <x:c r="D95" s="14"/>
      <x:c r="E95" s="14"/>
      <x:c r="F95" s="11"/>
      <x:c r="G95" s="11"/>
      <x:c r="H95" s="15"/>
      <x:c r="I95" s="11"/>
      <x:c r="J95" s="11"/>
    </x:row>
    <x:row r="96" ht="60" customHeight="1">
      <x:c r="A96" s="11"/>
      <x:c r="B96" s="11"/>
      <x:c r="C96" s="11"/>
      <x:c r="D96" s="14"/>
      <x:c r="E96" s="14"/>
      <x:c r="F96" s="11"/>
      <x:c r="G96" s="11"/>
      <x:c r="H96" s="15"/>
      <x:c r="I96" s="11"/>
      <x:c r="J96" s="11"/>
    </x:row>
    <x:row r="97" ht="60" customHeight="1">
      <x:c r="A97" s="11"/>
      <x:c r="B97" s="11"/>
      <x:c r="C97" s="11"/>
      <x:c r="D97" s="14"/>
      <x:c r="E97" s="14"/>
      <x:c r="F97" s="11"/>
      <x:c r="G97" s="11"/>
      <x:c r="H97" s="15"/>
      <x:c r="I97" s="11"/>
      <x:c r="J97" s="11"/>
    </x:row>
    <x:row r="98" ht="60" customHeight="1">
      <x:c r="A98" s="11"/>
      <x:c r="B98" s="11"/>
      <x:c r="C98" s="11"/>
      <x:c r="D98" s="14"/>
      <x:c r="E98" s="14"/>
      <x:c r="F98" s="11"/>
      <x:c r="G98" s="11"/>
      <x:c r="H98" s="15"/>
      <x:c r="I98" s="11"/>
      <x:c r="J98" s="11"/>
    </x:row>
    <x:row r="99" ht="60" customHeight="1">
      <x:c r="A99" s="11"/>
      <x:c r="B99" s="11"/>
      <x:c r="C99" s="11"/>
      <x:c r="D99" s="14"/>
      <x:c r="E99" s="14"/>
      <x:c r="F99" s="11"/>
      <x:c r="G99" s="11"/>
      <x:c r="H99" s="15"/>
      <x:c r="I99" s="11"/>
      <x:c r="J99" s="11"/>
    </x:row>
    <x:row r="100" ht="60" customHeight="1">
      <x:c r="A100" s="11"/>
      <x:c r="B100" s="11"/>
      <x:c r="C100" s="11"/>
      <x:c r="D100" s="14"/>
      <x:c r="E100" s="14"/>
      <x:c r="F100" s="11"/>
      <x:c r="G100" s="11"/>
      <x:c r="H100" s="15"/>
      <x:c r="I100" s="11"/>
      <x:c r="J100" s="11"/>
    </x:row>
    <x:row r="101" ht="60" customHeight="1">
      <x:c r="A101" s="11"/>
      <x:c r="B101" s="11"/>
      <x:c r="C101" s="11"/>
      <x:c r="D101" s="14"/>
      <x:c r="E101" s="14"/>
      <x:c r="F101" s="11"/>
      <x:c r="G101" s="11"/>
      <x:c r="H101" s="15"/>
      <x:c r="I101" s="11"/>
      <x:c r="J101" s="11"/>
    </x:row>
    <x:row r="102" ht="60" customHeight="1">
      <x:c r="A102" s="11"/>
      <x:c r="B102" s="11"/>
      <x:c r="C102" s="11"/>
      <x:c r="D102" s="14"/>
      <x:c r="E102" s="14"/>
      <x:c r="F102" s="11"/>
      <x:c r="G102" s="11"/>
      <x:c r="H102" s="15"/>
      <x:c r="I102" s="11"/>
      <x:c r="J102" s="11"/>
    </x:row>
    <x:row r="103" ht="60" customHeight="1">
      <x:c r="A103" s="11"/>
      <x:c r="B103" s="11"/>
      <x:c r="C103" s="11"/>
      <x:c r="D103" s="14"/>
      <x:c r="E103" s="14"/>
      <x:c r="F103" s="11"/>
      <x:c r="G103" s="11"/>
      <x:c r="H103" s="15"/>
      <x:c r="I103" s="11"/>
      <x:c r="J103" s="11"/>
    </x:row>
    <x:row r="104" ht="60" customHeight="1">
      <x:c r="A104" s="11"/>
      <x:c r="B104" s="11"/>
      <x:c r="C104" s="11"/>
      <x:c r="D104" s="14"/>
      <x:c r="E104" s="14"/>
      <x:c r="F104" s="11"/>
      <x:c r="G104" s="11"/>
      <x:c r="H104" s="15"/>
      <x:c r="I104" s="11"/>
      <x:c r="J104" s="11"/>
    </x:row>
    <x:row r="105" ht="60" customHeight="1">
      <x:c r="A105" s="11"/>
      <x:c r="B105" s="11"/>
      <x:c r="C105" s="11"/>
      <x:c r="D105" s="14"/>
      <x:c r="E105" s="14"/>
      <x:c r="F105" s="11"/>
      <x:c r="G105" s="11"/>
      <x:c r="H105" s="15"/>
      <x:c r="I105" s="11"/>
      <x:c r="J105" s="11"/>
    </x:row>
    <x:row r="106" ht="60" customHeight="1">
      <x:c r="A106" s="11"/>
      <x:c r="B106" s="11"/>
      <x:c r="C106" s="11"/>
      <x:c r="D106" s="14"/>
      <x:c r="E106" s="14"/>
      <x:c r="F106" s="11"/>
      <x:c r="G106" s="11"/>
      <x:c r="H106" s="15"/>
      <x:c r="I106" s="11"/>
      <x:c r="J106" s="11"/>
    </x:row>
    <x:row r="107" ht="60" customHeight="1">
      <x:c r="A107" s="11"/>
      <x:c r="B107" s="11"/>
      <x:c r="C107" s="11"/>
      <x:c r="D107" s="14"/>
      <x:c r="E107" s="14"/>
      <x:c r="F107" s="11"/>
      <x:c r="G107" s="11"/>
      <x:c r="H107" s="15"/>
      <x:c r="I107" s="11"/>
      <x:c r="J107" s="11"/>
    </x:row>
    <x:row r="108" ht="60" customHeight="1">
      <x:c r="A108" s="11"/>
      <x:c r="B108" s="11"/>
      <x:c r="C108" s="11"/>
      <x:c r="D108" s="14"/>
      <x:c r="E108" s="14"/>
      <x:c r="F108" s="11"/>
      <x:c r="G108" s="11"/>
      <x:c r="H108" s="15"/>
      <x:c r="I108" s="11"/>
      <x:c r="J108" s="11"/>
    </x:row>
    <x:row r="109" ht="60" customHeight="1">
      <x:c r="A109" s="11"/>
      <x:c r="B109" s="11"/>
      <x:c r="C109" s="11"/>
      <x:c r="D109" s="14"/>
      <x:c r="E109" s="14"/>
      <x:c r="F109" s="11"/>
      <x:c r="G109" s="11"/>
      <x:c r="H109" s="15"/>
      <x:c r="I109" s="11"/>
      <x:c r="J109" s="11"/>
    </x:row>
    <x:row r="110" ht="60" customHeight="1">
      <x:c r="A110" s="11"/>
      <x:c r="B110" s="11"/>
      <x:c r="C110" s="11"/>
      <x:c r="D110" s="14"/>
      <x:c r="E110" s="14"/>
      <x:c r="F110" s="11"/>
      <x:c r="G110" s="11"/>
      <x:c r="H110" s="15"/>
      <x:c r="I110" s="11"/>
      <x:c r="J110" s="11"/>
    </x:row>
    <x:row r="111" ht="60" customHeight="1">
      <x:c r="A111" s="11"/>
      <x:c r="B111" s="11"/>
      <x:c r="C111" s="11"/>
      <x:c r="D111" s="14"/>
      <x:c r="E111" s="14"/>
      <x:c r="F111" s="11"/>
      <x:c r="G111" s="11"/>
      <x:c r="H111" s="15"/>
      <x:c r="I111" s="11"/>
      <x:c r="J111" s="11"/>
    </x:row>
    <x:row r="112" ht="60" customHeight="1">
      <x:c r="A112" s="11"/>
      <x:c r="B112" s="11"/>
      <x:c r="C112" s="11"/>
      <x:c r="D112" s="14"/>
      <x:c r="E112" s="14"/>
      <x:c r="F112" s="11"/>
      <x:c r="G112" s="11"/>
      <x:c r="H112" s="15"/>
      <x:c r="I112" s="11"/>
      <x:c r="J112" s="11"/>
    </x:row>
    <x:row r="113" ht="60" customHeight="1">
      <x:c r="A113" s="11"/>
      <x:c r="B113" s="11"/>
      <x:c r="C113" s="11"/>
      <x:c r="D113" s="14"/>
      <x:c r="E113" s="14"/>
      <x:c r="F113" s="11"/>
      <x:c r="G113" s="11"/>
      <x:c r="H113" s="15"/>
      <x:c r="I113" s="11"/>
      <x:c r="J113" s="11"/>
    </x:row>
    <x:row r="114" ht="60" customHeight="1">
      <x:c r="A114" s="11"/>
      <x:c r="B114" s="11"/>
      <x:c r="C114" s="11"/>
      <x:c r="D114" s="14"/>
      <x:c r="E114" s="14"/>
      <x:c r="F114" s="11"/>
      <x:c r="G114" s="11"/>
      <x:c r="H114" s="15"/>
      <x:c r="I114" s="11"/>
      <x:c r="J114" s="11"/>
    </x:row>
    <x:row r="115" ht="60" customHeight="1">
      <x:c r="A115" s="11"/>
      <x:c r="B115" s="11"/>
      <x:c r="C115" s="11"/>
      <x:c r="D115" s="14"/>
      <x:c r="E115" s="14"/>
      <x:c r="F115" s="11"/>
      <x:c r="G115" s="11"/>
      <x:c r="H115" s="15"/>
      <x:c r="I115" s="11"/>
      <x:c r="J115" s="11"/>
    </x:row>
    <x:row r="116" ht="60" customHeight="1">
      <x:c r="A116" s="11"/>
      <x:c r="B116" s="11"/>
      <x:c r="C116" s="11"/>
      <x:c r="D116" s="14"/>
      <x:c r="E116" s="14"/>
      <x:c r="F116" s="11"/>
      <x:c r="G116" s="11"/>
      <x:c r="H116" s="15"/>
      <x:c r="I116" s="11"/>
      <x:c r="J116" s="11"/>
    </x:row>
    <x:row r="117" ht="60" customHeight="1">
      <x:c r="A117" s="11"/>
      <x:c r="B117" s="11"/>
      <x:c r="C117" s="11"/>
      <x:c r="D117" s="14"/>
      <x:c r="E117" s="14"/>
      <x:c r="F117" s="11"/>
      <x:c r="G117" s="11"/>
      <x:c r="H117" s="15"/>
      <x:c r="I117" s="11"/>
      <x:c r="J117" s="11"/>
    </x:row>
    <x:row r="118" ht="60" customHeight="1">
      <x:c r="A118" s="11"/>
      <x:c r="B118" s="11"/>
      <x:c r="C118" s="11"/>
      <x:c r="D118" s="14"/>
      <x:c r="E118" s="14"/>
      <x:c r="F118" s="11"/>
      <x:c r="G118" s="11"/>
      <x:c r="H118" s="15"/>
      <x:c r="I118" s="11"/>
      <x:c r="J118" s="11"/>
    </x:row>
    <x:row r="119" ht="60" customHeight="1">
      <x:c r="A119" s="11"/>
      <x:c r="B119" s="11"/>
      <x:c r="C119" s="11"/>
      <x:c r="D119" s="14"/>
      <x:c r="E119" s="14"/>
      <x:c r="F119" s="11"/>
      <x:c r="G119" s="11"/>
      <x:c r="H119" s="15"/>
      <x:c r="I119" s="11"/>
      <x:c r="J119" s="11"/>
    </x:row>
    <x:row r="120" ht="60" customHeight="1">
      <x:c r="A120" s="11"/>
      <x:c r="B120" s="11"/>
      <x:c r="C120" s="11"/>
      <x:c r="D120" s="14"/>
      <x:c r="E120" s="14"/>
      <x:c r="F120" s="11"/>
      <x:c r="G120" s="11"/>
      <x:c r="H120" s="15"/>
      <x:c r="I120" s="11"/>
      <x:c r="J120" s="11"/>
    </x:row>
    <x:row r="121" ht="60" customHeight="1">
      <x:c r="A121" s="11"/>
      <x:c r="B121" s="11"/>
      <x:c r="C121" s="11"/>
      <x:c r="D121" s="14"/>
      <x:c r="E121" s="14"/>
      <x:c r="F121" s="11"/>
      <x:c r="G121" s="11"/>
      <x:c r="H121" s="15"/>
      <x:c r="I121" s="11"/>
      <x:c r="J121" s="11"/>
    </x:row>
    <x:row r="122" ht="60" customHeight="1">
      <x:c r="A122" s="11"/>
      <x:c r="B122" s="11"/>
      <x:c r="C122" s="11"/>
      <x:c r="D122" s="14"/>
      <x:c r="E122" s="14"/>
      <x:c r="F122" s="11"/>
      <x:c r="G122" s="11"/>
      <x:c r="H122" s="15"/>
      <x:c r="I122" s="11"/>
      <x:c r="J122" s="11"/>
    </x:row>
    <x:row r="123" ht="60" customHeight="1">
      <x:c r="A123" s="11"/>
      <x:c r="B123" s="11"/>
      <x:c r="C123" s="11"/>
      <x:c r="D123" s="14"/>
      <x:c r="E123" s="14"/>
      <x:c r="F123" s="11"/>
      <x:c r="G123" s="11"/>
      <x:c r="H123" s="15"/>
      <x:c r="I123" s="11"/>
      <x:c r="J123" s="11"/>
    </x:row>
    <x:row r="124" ht="60" customHeight="1">
      <x:c r="A124" s="11"/>
      <x:c r="B124" s="11"/>
      <x:c r="C124" s="11"/>
      <x:c r="D124" s="14"/>
      <x:c r="E124" s="14"/>
      <x:c r="F124" s="11"/>
      <x:c r="G124" s="11"/>
      <x:c r="H124" s="15"/>
      <x:c r="I124" s="11"/>
      <x:c r="J124" s="11"/>
    </x:row>
    <x:row r="125" ht="60" customHeight="1">
      <x:c r="A125" s="11"/>
      <x:c r="B125" s="11"/>
      <x:c r="C125" s="11"/>
      <x:c r="D125" s="14"/>
      <x:c r="E125" s="14"/>
      <x:c r="F125" s="11"/>
      <x:c r="G125" s="11"/>
      <x:c r="H125" s="15"/>
      <x:c r="I125" s="11"/>
      <x:c r="J125" s="11"/>
    </x:row>
    <x:row r="126" ht="60" customHeight="1">
      <x:c r="A126" s="11"/>
      <x:c r="B126" s="11"/>
      <x:c r="C126" s="11"/>
      <x:c r="D126" s="14"/>
      <x:c r="E126" s="14"/>
      <x:c r="F126" s="11"/>
      <x:c r="G126" s="11"/>
      <x:c r="H126" s="15"/>
      <x:c r="I126" s="11"/>
      <x:c r="J126" s="11"/>
    </x:row>
    <x:row r="127" ht="60" customHeight="1">
      <x:c r="A127" s="11"/>
      <x:c r="B127" s="11"/>
      <x:c r="C127" s="11"/>
      <x:c r="D127" s="14"/>
      <x:c r="E127" s="14"/>
      <x:c r="F127" s="11"/>
      <x:c r="G127" s="11"/>
      <x:c r="H127" s="15"/>
      <x:c r="I127" s="11"/>
      <x:c r="J127" s="11"/>
    </x:row>
    <x:row r="128" ht="60" customHeight="1">
      <x:c r="A128" s="11"/>
      <x:c r="B128" s="11"/>
      <x:c r="C128" s="11"/>
      <x:c r="D128" s="14"/>
      <x:c r="E128" s="14"/>
      <x:c r="F128" s="11"/>
      <x:c r="G128" s="11"/>
      <x:c r="H128" s="15"/>
      <x:c r="I128" s="11"/>
      <x:c r="J128" s="11"/>
    </x:row>
    <x:row r="129" ht="60" customHeight="1">
      <x:c r="A129" s="11"/>
      <x:c r="B129" s="11"/>
      <x:c r="C129" s="11"/>
      <x:c r="D129" s="14"/>
      <x:c r="E129" s="14"/>
      <x:c r="F129" s="11"/>
      <x:c r="G129" s="11"/>
      <x:c r="H129" s="15"/>
      <x:c r="I129" s="11"/>
      <x:c r="J129" s="11"/>
    </x:row>
    <x:row r="130" ht="60" customHeight="1">
      <x:c r="A130" s="11"/>
      <x:c r="B130" s="11"/>
      <x:c r="C130" s="11"/>
      <x:c r="D130" s="14"/>
      <x:c r="E130" s="14"/>
      <x:c r="F130" s="11"/>
      <x:c r="G130" s="11"/>
      <x:c r="H130" s="15"/>
      <x:c r="I130" s="11"/>
      <x:c r="J130" s="11"/>
    </x:row>
    <x:row r="131" ht="60" customHeight="1">
      <x:c r="A131" s="11"/>
      <x:c r="B131" s="11"/>
      <x:c r="C131" s="11"/>
      <x:c r="D131" s="14"/>
      <x:c r="E131" s="14"/>
      <x:c r="F131" s="11"/>
      <x:c r="G131" s="11"/>
      <x:c r="H131" s="15"/>
      <x:c r="I131" s="11"/>
      <x:c r="J131" s="11"/>
    </x:row>
    <x:row r="132" ht="60" customHeight="1">
      <x:c r="A132" s="11"/>
      <x:c r="B132" s="11"/>
      <x:c r="C132" s="11"/>
      <x:c r="D132" s="14"/>
      <x:c r="E132" s="14"/>
      <x:c r="F132" s="11"/>
      <x:c r="G132" s="11"/>
      <x:c r="H132" s="15"/>
      <x:c r="I132" s="11"/>
      <x:c r="J132" s="11"/>
    </x:row>
    <x:row r="133" ht="60" customHeight="1">
      <x:c r="A133" s="11"/>
      <x:c r="B133" s="11"/>
      <x:c r="C133" s="11"/>
      <x:c r="D133" s="14"/>
      <x:c r="E133" s="14"/>
      <x:c r="F133" s="11"/>
      <x:c r="G133" s="11"/>
      <x:c r="H133" s="15"/>
      <x:c r="I133" s="11"/>
      <x:c r="J133" s="11"/>
    </x:row>
    <x:row r="134" ht="60" customHeight="1">
      <x:c r="A134" s="11"/>
      <x:c r="B134" s="11"/>
      <x:c r="C134" s="11"/>
      <x:c r="D134" s="14"/>
      <x:c r="E134" s="14"/>
      <x:c r="F134" s="11"/>
      <x:c r="G134" s="11"/>
      <x:c r="H134" s="15"/>
      <x:c r="I134" s="11"/>
      <x:c r="J134" s="11"/>
    </x:row>
    <x:row r="135" ht="60" customHeight="1">
      <x:c r="A135" s="11"/>
      <x:c r="B135" s="11"/>
      <x:c r="C135" s="11"/>
      <x:c r="D135" s="14"/>
      <x:c r="E135" s="14"/>
      <x:c r="F135" s="11"/>
      <x:c r="G135" s="11"/>
      <x:c r="H135" s="15"/>
      <x:c r="I135" s="11"/>
      <x:c r="J135" s="11"/>
    </x:row>
    <x:row r="136" ht="60" customHeight="1">
      <x:c r="A136" s="11"/>
      <x:c r="B136" s="11"/>
      <x:c r="C136" s="11"/>
      <x:c r="D136" s="14"/>
      <x:c r="E136" s="14"/>
      <x:c r="F136" s="11"/>
      <x:c r="G136" s="11"/>
      <x:c r="H136" s="15"/>
      <x:c r="I136" s="11"/>
      <x:c r="J136" s="11"/>
    </x:row>
    <x:row r="137" ht="60" customHeight="1">
      <x:c r="A137" s="11"/>
      <x:c r="B137" s="11"/>
      <x:c r="C137" s="11"/>
      <x:c r="D137" s="14"/>
      <x:c r="E137" s="14"/>
      <x:c r="F137" s="11"/>
      <x:c r="G137" s="11"/>
      <x:c r="H137" s="15"/>
      <x:c r="I137" s="11"/>
      <x:c r="J137" s="11"/>
    </x:row>
    <x:row r="138" ht="60" customHeight="1">
      <x:c r="A138" s="11"/>
      <x:c r="B138" s="11"/>
      <x:c r="C138" s="11"/>
      <x:c r="D138" s="14"/>
      <x:c r="E138" s="14"/>
      <x:c r="F138" s="11"/>
      <x:c r="G138" s="11"/>
      <x:c r="H138" s="15"/>
      <x:c r="I138" s="11"/>
      <x:c r="J138" s="11"/>
    </x:row>
    <x:row r="139" ht="60" customHeight="1">
      <x:c r="A139" s="11"/>
      <x:c r="B139" s="11"/>
      <x:c r="C139" s="11"/>
      <x:c r="D139" s="14"/>
      <x:c r="E139" s="14"/>
      <x:c r="F139" s="11"/>
      <x:c r="G139" s="11"/>
      <x:c r="H139" s="15"/>
      <x:c r="I139" s="11"/>
      <x:c r="J139" s="11"/>
    </x:row>
    <x:row r="140" ht="60" customHeight="1">
      <x:c r="A140" s="11"/>
      <x:c r="B140" s="11"/>
      <x:c r="C140" s="11"/>
      <x:c r="D140" s="14"/>
      <x:c r="E140" s="14"/>
      <x:c r="F140" s="11"/>
      <x:c r="G140" s="11"/>
      <x:c r="H140" s="15"/>
      <x:c r="I140" s="11"/>
      <x:c r="J140" s="11"/>
    </x:row>
    <x:row r="141" ht="60" customHeight="1">
      <x:c r="A141" s="11"/>
      <x:c r="B141" s="11"/>
      <x:c r="C141" s="11"/>
      <x:c r="D141" s="14"/>
      <x:c r="E141" s="14"/>
      <x:c r="F141" s="11"/>
      <x:c r="G141" s="11"/>
      <x:c r="H141" s="15"/>
      <x:c r="I141" s="11"/>
      <x:c r="J141" s="11"/>
    </x:row>
    <x:row r="142" ht="60" customHeight="1">
      <x:c r="A142" s="11"/>
      <x:c r="B142" s="11"/>
      <x:c r="C142" s="11"/>
      <x:c r="D142" s="14"/>
      <x:c r="E142" s="14"/>
      <x:c r="F142" s="11"/>
      <x:c r="G142" s="11"/>
      <x:c r="H142" s="15"/>
      <x:c r="I142" s="11"/>
      <x:c r="J142" s="11"/>
    </x:row>
    <x:row r="143" ht="60" customHeight="1">
      <x:c r="A143" s="11"/>
      <x:c r="B143" s="11"/>
      <x:c r="C143" s="11"/>
      <x:c r="D143" s="14"/>
      <x:c r="E143" s="14"/>
      <x:c r="F143" s="11"/>
      <x:c r="G143" s="11"/>
      <x:c r="H143" s="15"/>
      <x:c r="I143" s="11"/>
      <x:c r="J143" s="11"/>
    </x:row>
    <x:row r="144" ht="60" customHeight="1">
      <x:c r="A144" s="11"/>
      <x:c r="B144" s="11"/>
      <x:c r="C144" s="11"/>
      <x:c r="D144" s="14"/>
      <x:c r="E144" s="14"/>
      <x:c r="F144" s="11"/>
      <x:c r="G144" s="11"/>
      <x:c r="H144" s="15"/>
      <x:c r="I144" s="11"/>
      <x:c r="J144" s="11"/>
    </x:row>
    <x:row r="145" ht="60" customHeight="1">
      <x:c r="A145" s="11"/>
      <x:c r="B145" s="11"/>
      <x:c r="C145" s="11"/>
      <x:c r="D145" s="14"/>
      <x:c r="E145" s="14"/>
      <x:c r="F145" s="11"/>
      <x:c r="G145" s="11"/>
      <x:c r="H145" s="15"/>
      <x:c r="I145" s="11"/>
      <x:c r="J145" s="11"/>
    </x:row>
    <x:row r="146" ht="60" customHeight="1">
      <x:c r="A146" s="11"/>
      <x:c r="B146" s="11"/>
      <x:c r="C146" s="11"/>
      <x:c r="D146" s="14"/>
      <x:c r="E146" s="14"/>
      <x:c r="F146" s="11"/>
      <x:c r="G146" s="11"/>
      <x:c r="H146" s="15"/>
      <x:c r="I146" s="11"/>
      <x:c r="J146" s="11"/>
    </x:row>
    <x:row r="147" ht="60" customHeight="1">
      <x:c r="A147" s="11"/>
      <x:c r="B147" s="11"/>
      <x:c r="C147" s="11"/>
      <x:c r="D147" s="14"/>
      <x:c r="E147" s="14"/>
      <x:c r="F147" s="11"/>
      <x:c r="G147" s="11"/>
      <x:c r="H147" s="15"/>
      <x:c r="I147" s="11"/>
      <x:c r="J147" s="11"/>
    </x:row>
    <x:row r="148" ht="60" customHeight="1">
      <x:c r="A148" s="11"/>
      <x:c r="B148" s="11"/>
      <x:c r="C148" s="11"/>
      <x:c r="D148" s="14"/>
      <x:c r="E148" s="14"/>
      <x:c r="F148" s="11"/>
      <x:c r="G148" s="11"/>
      <x:c r="H148" s="15"/>
      <x:c r="I148" s="11"/>
      <x:c r="J148" s="11"/>
    </x:row>
    <x:row r="149" ht="60" customHeight="1">
      <x:c r="A149" s="11"/>
      <x:c r="B149" s="11"/>
      <x:c r="C149" s="11"/>
      <x:c r="D149" s="14"/>
      <x:c r="E149" s="14"/>
      <x:c r="F149" s="11"/>
      <x:c r="G149" s="11"/>
      <x:c r="H149" s="15"/>
      <x:c r="I149" s="11"/>
      <x:c r="J149" s="11"/>
    </x:row>
    <x:row r="150" ht="60" customHeight="1">
      <x:c r="A150" s="11"/>
      <x:c r="B150" s="11"/>
      <x:c r="C150" s="11"/>
      <x:c r="D150" s="14"/>
      <x:c r="E150" s="14"/>
      <x:c r="F150" s="11"/>
      <x:c r="G150" s="11"/>
      <x:c r="H150" s="15"/>
      <x:c r="I150" s="11"/>
      <x:c r="J150" s="11"/>
    </x:row>
    <x:row r="151" ht="60" customHeight="1">
      <x:c r="A151" s="11"/>
      <x:c r="B151" s="11"/>
      <x:c r="C151" s="11"/>
      <x:c r="D151" s="14"/>
      <x:c r="E151" s="14"/>
      <x:c r="F151" s="11"/>
      <x:c r="G151" s="11"/>
      <x:c r="H151" s="15"/>
      <x:c r="I151" s="11"/>
      <x:c r="J151" s="11"/>
    </x:row>
    <x:row r="152" ht="60" customHeight="1">
      <x:c r="A152" s="11"/>
      <x:c r="B152" s="11"/>
      <x:c r="C152" s="11"/>
      <x:c r="D152" s="14"/>
      <x:c r="E152" s="14"/>
      <x:c r="F152" s="11"/>
      <x:c r="G152" s="11"/>
      <x:c r="H152" s="15"/>
      <x:c r="I152" s="11"/>
      <x:c r="J152" s="11"/>
    </x:row>
    <x:row r="153" ht="60" customHeight="1">
      <x:c r="A153" s="11"/>
      <x:c r="B153" s="11"/>
      <x:c r="C153" s="11"/>
      <x:c r="D153" s="14"/>
      <x:c r="E153" s="14"/>
      <x:c r="F153" s="11"/>
      <x:c r="G153" s="11"/>
      <x:c r="H153" s="15"/>
      <x:c r="I153" s="11"/>
      <x:c r="J153" s="11"/>
    </x:row>
    <x:row r="154" ht="60" customHeight="1">
      <x:c r="A154" s="11"/>
      <x:c r="B154" s="11"/>
      <x:c r="C154" s="11"/>
      <x:c r="D154" s="14"/>
      <x:c r="E154" s="14"/>
      <x:c r="F154" s="11"/>
      <x:c r="G154" s="11"/>
      <x:c r="H154" s="15"/>
      <x:c r="I154" s="11"/>
      <x:c r="J154" s="11"/>
    </x:row>
    <x:row r="155" ht="60" customHeight="1">
      <x:c r="A155" s="11"/>
      <x:c r="B155" s="11"/>
      <x:c r="C155" s="11"/>
      <x:c r="D155" s="14"/>
      <x:c r="E155" s="14"/>
      <x:c r="F155" s="11"/>
      <x:c r="G155" s="11"/>
      <x:c r="H155" s="15"/>
      <x:c r="I155" s="11"/>
      <x:c r="J155" s="11"/>
    </x:row>
    <x:row r="156" ht="60" customHeight="1">
      <x:c r="A156" s="11"/>
      <x:c r="B156" s="11"/>
      <x:c r="C156" s="11"/>
      <x:c r="D156" s="14"/>
      <x:c r="E156" s="14"/>
      <x:c r="F156" s="11"/>
      <x:c r="G156" s="11"/>
      <x:c r="H156" s="15"/>
      <x:c r="I156" s="11"/>
      <x:c r="J156" s="11"/>
    </x:row>
    <x:row r="157" ht="60" customHeight="1">
      <x:c r="A157" s="11"/>
      <x:c r="B157" s="11"/>
      <x:c r="C157" s="11"/>
      <x:c r="D157" s="14"/>
      <x:c r="E157" s="14"/>
      <x:c r="F157" s="11"/>
      <x:c r="G157" s="11"/>
      <x:c r="H157" s="15"/>
      <x:c r="I157" s="11"/>
      <x:c r="J157" s="11"/>
    </x:row>
    <x:row r="158" ht="60" customHeight="1">
      <x:c r="A158" s="11"/>
      <x:c r="B158" s="11"/>
      <x:c r="C158" s="11"/>
      <x:c r="D158" s="14"/>
      <x:c r="E158" s="14"/>
      <x:c r="F158" s="11"/>
      <x:c r="G158" s="11"/>
      <x:c r="H158" s="15"/>
      <x:c r="I158" s="11"/>
      <x:c r="J158" s="11"/>
    </x:row>
    <x:row r="159" ht="60" customHeight="1">
      <x:c r="A159" s="11"/>
      <x:c r="B159" s="11"/>
      <x:c r="C159" s="11"/>
      <x:c r="D159" s="14"/>
      <x:c r="E159" s="14"/>
      <x:c r="F159" s="11"/>
      <x:c r="G159" s="11"/>
      <x:c r="H159" s="15"/>
      <x:c r="I159" s="11"/>
      <x:c r="J159" s="11"/>
    </x:row>
    <x:row r="160" ht="60" customHeight="1">
      <x:c r="A160" s="11"/>
      <x:c r="B160" s="11"/>
      <x:c r="C160" s="11"/>
      <x:c r="D160" s="14"/>
      <x:c r="E160" s="14"/>
      <x:c r="F160" s="11"/>
      <x:c r="G160" s="11"/>
      <x:c r="H160" s="15"/>
      <x:c r="I160" s="11"/>
      <x:c r="J160" s="11"/>
    </x:row>
    <x:row r="161" ht="60" customHeight="1">
      <x:c r="A161" s="11"/>
      <x:c r="B161" s="11"/>
      <x:c r="C161" s="11"/>
      <x:c r="D161" s="14"/>
      <x:c r="E161" s="14"/>
      <x:c r="F161" s="11"/>
      <x:c r="G161" s="11"/>
      <x:c r="H161" s="15"/>
      <x:c r="I161" s="11"/>
      <x:c r="J161" s="11"/>
    </x:row>
    <x:row r="162" ht="60" customHeight="1">
      <x:c r="A162" s="11"/>
      <x:c r="B162" s="11"/>
      <x:c r="C162" s="11"/>
      <x:c r="D162" s="14"/>
      <x:c r="E162" s="14"/>
      <x:c r="F162" s="11"/>
      <x:c r="G162" s="11"/>
      <x:c r="H162" s="15"/>
      <x:c r="I162" s="11"/>
      <x:c r="J162" s="11"/>
    </x:row>
    <x:row r="163" ht="60" customHeight="1">
      <x:c r="A163" s="11"/>
      <x:c r="B163" s="11"/>
      <x:c r="C163" s="11"/>
      <x:c r="D163" s="14"/>
      <x:c r="E163" s="14"/>
      <x:c r="F163" s="11"/>
      <x:c r="G163" s="11"/>
      <x:c r="H163" s="15"/>
      <x:c r="I163" s="11"/>
      <x:c r="J163" s="11"/>
    </x:row>
    <x:row r="164" ht="60" customHeight="1">
      <x:c r="A164" s="11"/>
      <x:c r="B164" s="11"/>
      <x:c r="C164" s="11"/>
      <x:c r="D164" s="14"/>
      <x:c r="E164" s="14"/>
      <x:c r="F164" s="11"/>
      <x:c r="G164" s="11"/>
      <x:c r="H164" s="15"/>
      <x:c r="I164" s="11"/>
      <x:c r="J164" s="11"/>
    </x:row>
    <x:row r="165" ht="60" customHeight="1">
      <x:c r="A165" s="11"/>
      <x:c r="B165" s="11"/>
      <x:c r="C165" s="11"/>
      <x:c r="D165" s="14"/>
      <x:c r="E165" s="14"/>
      <x:c r="F165" s="11"/>
      <x:c r="G165" s="11"/>
      <x:c r="H165" s="15"/>
      <x:c r="I165" s="11"/>
      <x:c r="J165" s="11"/>
    </x:row>
    <x:row r="166" ht="60" customHeight="1">
      <x:c r="A166" s="11"/>
      <x:c r="B166" s="11"/>
      <x:c r="C166" s="11"/>
      <x:c r="D166" s="14"/>
      <x:c r="E166" s="14"/>
      <x:c r="F166" s="11"/>
      <x:c r="G166" s="11"/>
      <x:c r="H166" s="15"/>
      <x:c r="I166" s="11"/>
      <x:c r="J166" s="11"/>
    </x:row>
    <x:row r="167" ht="60" customHeight="1">
      <x:c r="A167" s="11"/>
      <x:c r="B167" s="11"/>
      <x:c r="C167" s="11"/>
      <x:c r="D167" s="14"/>
      <x:c r="E167" s="14"/>
      <x:c r="F167" s="11"/>
      <x:c r="G167" s="11"/>
      <x:c r="H167" s="15"/>
      <x:c r="I167" s="11"/>
      <x:c r="J167" s="11"/>
    </x:row>
    <x:row r="168" ht="60" customHeight="1">
      <x:c r="A168" s="11"/>
      <x:c r="B168" s="11"/>
      <x:c r="C168" s="11"/>
      <x:c r="D168" s="14"/>
      <x:c r="E168" s="14"/>
      <x:c r="F168" s="11"/>
      <x:c r="G168" s="11"/>
      <x:c r="H168" s="15"/>
      <x:c r="I168" s="11"/>
      <x:c r="J168" s="11"/>
    </x:row>
    <x:row r="169" ht="60" customHeight="1">
      <x:c r="A169" s="11"/>
      <x:c r="B169" s="11"/>
      <x:c r="C169" s="11"/>
      <x:c r="D169" s="14"/>
      <x:c r="E169" s="14"/>
      <x:c r="F169" s="11"/>
      <x:c r="G169" s="11"/>
      <x:c r="H169" s="15"/>
      <x:c r="I169" s="11"/>
      <x:c r="J169" s="11"/>
    </x:row>
    <x:row r="170" ht="60" customHeight="1">
      <x:c r="A170" s="11"/>
      <x:c r="B170" s="11"/>
      <x:c r="C170" s="11"/>
      <x:c r="D170" s="14"/>
      <x:c r="E170" s="14"/>
      <x:c r="F170" s="11"/>
      <x:c r="G170" s="11"/>
      <x:c r="H170" s="15"/>
      <x:c r="I170" s="11"/>
      <x:c r="J170" s="11"/>
    </x:row>
    <x:row r="171" ht="60" customHeight="1">
      <x:c r="A171" s="11"/>
      <x:c r="B171" s="11"/>
      <x:c r="C171" s="11"/>
      <x:c r="D171" s="14"/>
      <x:c r="E171" s="14"/>
      <x:c r="F171" s="11"/>
      <x:c r="G171" s="11"/>
      <x:c r="H171" s="15"/>
      <x:c r="I171" s="11"/>
      <x:c r="J171" s="11"/>
    </x:row>
    <x:row r="172" ht="60" customHeight="1">
      <x:c r="A172" s="11"/>
      <x:c r="B172" s="11"/>
      <x:c r="C172" s="11"/>
      <x:c r="D172" s="14"/>
      <x:c r="E172" s="14"/>
      <x:c r="F172" s="11"/>
      <x:c r="G172" s="11"/>
      <x:c r="H172" s="15"/>
      <x:c r="I172" s="11"/>
      <x:c r="J172" s="11"/>
    </x:row>
    <x:row r="173" ht="60" customHeight="1">
      <x:c r="A173" s="11"/>
      <x:c r="B173" s="11"/>
      <x:c r="C173" s="11"/>
      <x:c r="D173" s="14"/>
      <x:c r="E173" s="14"/>
      <x:c r="F173" s="11"/>
      <x:c r="G173" s="11"/>
      <x:c r="H173" s="15"/>
      <x:c r="I173" s="11"/>
      <x:c r="J173" s="11"/>
    </x:row>
    <x:row r="174" ht="60" customHeight="1">
      <x:c r="A174" s="11"/>
      <x:c r="B174" s="11"/>
      <x:c r="C174" s="11"/>
      <x:c r="D174" s="14"/>
      <x:c r="E174" s="14"/>
      <x:c r="F174" s="11"/>
      <x:c r="G174" s="11"/>
      <x:c r="H174" s="15"/>
      <x:c r="I174" s="11"/>
      <x:c r="J174" s="11"/>
    </x:row>
    <x:row r="175" ht="60" customHeight="1">
      <x:c r="A175" s="11"/>
      <x:c r="B175" s="11"/>
      <x:c r="C175" s="11"/>
      <x:c r="D175" s="14"/>
      <x:c r="E175" s="14"/>
      <x:c r="F175" s="11"/>
      <x:c r="G175" s="11"/>
      <x:c r="H175" s="15"/>
      <x:c r="I175" s="11"/>
      <x:c r="J175" s="11"/>
    </x:row>
    <x:row r="176" ht="60" customHeight="1">
      <x:c r="A176" s="11"/>
      <x:c r="B176" s="11"/>
      <x:c r="C176" s="11"/>
      <x:c r="D176" s="14"/>
      <x:c r="E176" s="14"/>
      <x:c r="F176" s="11"/>
      <x:c r="G176" s="11"/>
      <x:c r="H176" s="15"/>
      <x:c r="I176" s="11"/>
      <x:c r="J176" s="11"/>
    </x:row>
    <x:row r="177" ht="60" customHeight="1">
      <x:c r="A177" s="11"/>
      <x:c r="B177" s="11"/>
      <x:c r="C177" s="11"/>
      <x:c r="D177" s="14"/>
      <x:c r="E177" s="14"/>
      <x:c r="F177" s="11"/>
      <x:c r="G177" s="11"/>
      <x:c r="H177" s="15"/>
      <x:c r="I177" s="11"/>
      <x:c r="J177" s="11"/>
    </x:row>
    <x:row r="178" ht="60" customHeight="1">
      <x:c r="A178" s="11"/>
      <x:c r="B178" s="11"/>
      <x:c r="C178" s="11"/>
      <x:c r="D178" s="14"/>
      <x:c r="E178" s="14"/>
      <x:c r="F178" s="11"/>
      <x:c r="G178" s="11"/>
      <x:c r="H178" s="15"/>
      <x:c r="I178" s="11"/>
      <x:c r="J178" s="11"/>
    </x:row>
    <x:row r="179" ht="60" customHeight="1">
      <x:c r="A179" s="11"/>
      <x:c r="B179" s="11"/>
      <x:c r="C179" s="11"/>
      <x:c r="D179" s="14"/>
      <x:c r="E179" s="14"/>
      <x:c r="F179" s="11"/>
      <x:c r="G179" s="11"/>
      <x:c r="H179" s="15"/>
      <x:c r="I179" s="11"/>
      <x:c r="J179" s="11"/>
    </x:row>
    <x:row r="180" ht="60" customHeight="1">
      <x:c r="A180" s="11"/>
      <x:c r="B180" s="11"/>
      <x:c r="C180" s="11"/>
      <x:c r="D180" s="14"/>
      <x:c r="E180" s="14"/>
      <x:c r="F180" s="11"/>
      <x:c r="G180" s="11"/>
      <x:c r="H180" s="15"/>
      <x:c r="I180" s="11"/>
      <x:c r="J180" s="11"/>
    </x:row>
    <x:row r="181" ht="60" customHeight="1">
      <x:c r="A181" s="11"/>
      <x:c r="B181" s="11"/>
      <x:c r="C181" s="11"/>
      <x:c r="D181" s="14"/>
      <x:c r="E181" s="14"/>
      <x:c r="F181" s="11"/>
      <x:c r="G181" s="11"/>
      <x:c r="H181" s="15"/>
      <x:c r="I181" s="11"/>
      <x:c r="J181" s="11"/>
    </x:row>
    <x:row r="182" ht="60" customHeight="1">
      <x:c r="A182" s="11"/>
      <x:c r="B182" s="11"/>
      <x:c r="C182" s="11"/>
      <x:c r="D182" s="14"/>
      <x:c r="E182" s="14"/>
      <x:c r="F182" s="11"/>
      <x:c r="G182" s="11"/>
      <x:c r="H182" s="15"/>
      <x:c r="I182" s="11"/>
      <x:c r="J182" s="11"/>
    </x:row>
    <x:row r="183" ht="60" customHeight="1">
      <x:c r="A183" s="11"/>
      <x:c r="B183" s="11"/>
      <x:c r="C183" s="11"/>
      <x:c r="D183" s="14"/>
      <x:c r="E183" s="14"/>
      <x:c r="F183" s="11"/>
      <x:c r="G183" s="11"/>
      <x:c r="H183" s="15"/>
      <x:c r="I183" s="11"/>
      <x:c r="J183" s="11"/>
    </x:row>
    <x:row r="184" ht="60" customHeight="1">
      <x:c r="A184" s="11"/>
      <x:c r="B184" s="11"/>
      <x:c r="C184" s="11"/>
      <x:c r="D184" s="14"/>
      <x:c r="E184" s="14"/>
      <x:c r="F184" s="11"/>
      <x:c r="G184" s="11"/>
      <x:c r="H184" s="15"/>
      <x:c r="I184" s="11"/>
      <x:c r="J184" s="11"/>
    </x:row>
    <x:row r="185" ht="60" customHeight="1">
      <x:c r="A185" s="11"/>
      <x:c r="B185" s="11"/>
      <x:c r="C185" s="11"/>
      <x:c r="D185" s="14"/>
      <x:c r="E185" s="14"/>
      <x:c r="F185" s="11"/>
      <x:c r="G185" s="11"/>
      <x:c r="H185" s="15"/>
      <x:c r="I185" s="11"/>
      <x:c r="J185" s="11"/>
    </x:row>
    <x:row r="186" ht="60" customHeight="1">
      <x:c r="A186" s="11"/>
      <x:c r="B186" s="11"/>
      <x:c r="C186" s="11"/>
      <x:c r="D186" s="14"/>
      <x:c r="E186" s="14"/>
      <x:c r="F186" s="11"/>
      <x:c r="G186" s="11"/>
      <x:c r="H186" s="15"/>
      <x:c r="I186" s="11"/>
      <x:c r="J186" s="11"/>
    </x:row>
    <x:row r="187" ht="60" customHeight="1">
      <x:c r="A187" s="11"/>
      <x:c r="B187" s="11"/>
      <x:c r="C187" s="11"/>
      <x:c r="D187" s="14"/>
      <x:c r="E187" s="14"/>
      <x:c r="F187" s="11"/>
      <x:c r="G187" s="11"/>
      <x:c r="H187" s="15"/>
      <x:c r="I187" s="11"/>
      <x:c r="J187" s="11"/>
    </x:row>
    <x:row r="188" ht="60" customHeight="1">
      <x:c r="A188" s="11"/>
      <x:c r="B188" s="11"/>
      <x:c r="C188" s="11"/>
      <x:c r="D188" s="14"/>
      <x:c r="E188" s="14"/>
      <x:c r="F188" s="11"/>
      <x:c r="G188" s="11"/>
      <x:c r="H188" s="15"/>
      <x:c r="I188" s="11"/>
      <x:c r="J188" s="11"/>
    </x:row>
    <x:row r="189" ht="60" customHeight="1">
      <x:c r="A189" s="11"/>
      <x:c r="B189" s="11"/>
      <x:c r="C189" s="11"/>
      <x:c r="D189" s="14"/>
      <x:c r="E189" s="14"/>
      <x:c r="F189" s="11"/>
      <x:c r="G189" s="11"/>
      <x:c r="H189" s="15"/>
      <x:c r="I189" s="11"/>
      <x:c r="J189" s="11"/>
    </x:row>
    <x:row r="190" ht="60" customHeight="1">
      <x:c r="A190" s="11"/>
      <x:c r="B190" s="11"/>
      <x:c r="C190" s="11"/>
      <x:c r="D190" s="14"/>
      <x:c r="E190" s="14"/>
      <x:c r="F190" s="11"/>
      <x:c r="G190" s="11"/>
      <x:c r="H190" s="15"/>
      <x:c r="I190" s="11"/>
      <x:c r="J190" s="11"/>
    </x:row>
    <x:row r="191" ht="60" customHeight="1">
      <x:c r="A191" s="11"/>
      <x:c r="B191" s="11"/>
      <x:c r="C191" s="11"/>
      <x:c r="D191" s="14"/>
      <x:c r="E191" s="14"/>
      <x:c r="F191" s="11"/>
      <x:c r="G191" s="11"/>
      <x:c r="H191" s="15"/>
      <x:c r="I191" s="11"/>
      <x:c r="J191" s="11"/>
    </x:row>
    <x:row r="192" ht="60" customHeight="1">
      <x:c r="A192" s="11"/>
      <x:c r="B192" s="11"/>
      <x:c r="C192" s="11"/>
      <x:c r="D192" s="14"/>
      <x:c r="E192" s="14"/>
      <x:c r="F192" s="11"/>
      <x:c r="G192" s="11"/>
      <x:c r="H192" s="15"/>
      <x:c r="I192" s="11"/>
      <x:c r="J192" s="11"/>
    </x:row>
    <x:row r="193" ht="60" customHeight="1">
      <x:c r="A193" s="11"/>
      <x:c r="B193" s="11"/>
      <x:c r="C193" s="11"/>
      <x:c r="D193" s="14"/>
      <x:c r="E193" s="14"/>
      <x:c r="F193" s="11"/>
      <x:c r="G193" s="11"/>
      <x:c r="H193" s="15"/>
      <x:c r="I193" s="11"/>
      <x:c r="J193" s="11"/>
    </x:row>
    <x:row r="194" ht="60" customHeight="1">
      <x:c r="A194" s="11"/>
      <x:c r="B194" s="11"/>
      <x:c r="C194" s="11"/>
      <x:c r="D194" s="14"/>
      <x:c r="E194" s="14"/>
      <x:c r="F194" s="11"/>
      <x:c r="G194" s="11"/>
      <x:c r="H194" s="15"/>
      <x:c r="I194" s="11"/>
      <x:c r="J194" s="11"/>
    </x:row>
    <x:row r="195" ht="60" customHeight="1">
      <x:c r="A195" s="11"/>
      <x:c r="B195" s="11"/>
      <x:c r="C195" s="11"/>
      <x:c r="D195" s="14"/>
      <x:c r="E195" s="14"/>
      <x:c r="F195" s="11"/>
      <x:c r="G195" s="11"/>
      <x:c r="H195" s="15"/>
      <x:c r="I195" s="11"/>
      <x:c r="J195" s="11"/>
    </x:row>
    <x:row r="196" ht="60" customHeight="1">
      <x:c r="A196" s="11"/>
      <x:c r="B196" s="11"/>
      <x:c r="C196" s="11"/>
      <x:c r="D196" s="14"/>
      <x:c r="E196" s="14"/>
      <x:c r="F196" s="11"/>
      <x:c r="G196" s="11"/>
      <x:c r="H196" s="15"/>
      <x:c r="I196" s="11"/>
      <x:c r="J196" s="11"/>
    </x:row>
    <x:row r="197" ht="60" customHeight="1">
      <x:c r="A197" s="11"/>
      <x:c r="B197" s="11"/>
      <x:c r="C197" s="11"/>
      <x:c r="D197" s="14"/>
      <x:c r="E197" s="14"/>
      <x:c r="F197" s="11"/>
      <x:c r="G197" s="11"/>
      <x:c r="H197" s="15"/>
      <x:c r="I197" s="11"/>
      <x:c r="J197" s="11"/>
    </x:row>
    <x:row r="198" ht="60" customHeight="1">
      <x:c r="A198" s="11"/>
      <x:c r="B198" s="11"/>
      <x:c r="C198" s="11"/>
      <x:c r="D198" s="14"/>
      <x:c r="E198" s="14"/>
      <x:c r="F198" s="11"/>
      <x:c r="G198" s="11"/>
      <x:c r="H198" s="15"/>
      <x:c r="I198" s="11"/>
      <x:c r="J198" s="11"/>
    </x:row>
    <x:row r="199" ht="60" customHeight="1">
      <x:c r="A199" s="11"/>
      <x:c r="B199" s="11"/>
      <x:c r="C199" s="11"/>
      <x:c r="D199" s="14"/>
      <x:c r="E199" s="14"/>
      <x:c r="F199" s="11"/>
      <x:c r="G199" s="11"/>
      <x:c r="H199" s="15"/>
      <x:c r="I199" s="11"/>
      <x:c r="J199" s="11"/>
    </x:row>
    <x:row r="200" ht="60" customHeight="1">
      <x:c r="A200" s="11"/>
      <x:c r="B200" s="11"/>
      <x:c r="C200" s="11"/>
      <x:c r="D200" s="14"/>
      <x:c r="E200" s="14"/>
      <x:c r="F200" s="11"/>
      <x:c r="G200" s="11"/>
      <x:c r="H200" s="15"/>
      <x:c r="I200" s="11"/>
      <x:c r="J200" s="11"/>
    </x:row>
    <x:row r="201" ht="60" customHeight="1">
      <x:c r="A201" s="11"/>
      <x:c r="B201" s="11"/>
      <x:c r="C201" s="11"/>
      <x:c r="D201" s="14"/>
      <x:c r="E201" s="14"/>
      <x:c r="F201" s="11"/>
      <x:c r="G201" s="11"/>
      <x:c r="H201" s="15"/>
      <x:c r="I201" s="11"/>
      <x:c r="J201" s="11"/>
    </x:row>
    <x:row r="202" ht="60" customHeight="1">
      <x:c r="A202" s="11"/>
      <x:c r="B202" s="11"/>
      <x:c r="C202" s="11"/>
      <x:c r="D202" s="14"/>
      <x:c r="E202" s="14"/>
      <x:c r="F202" s="11"/>
      <x:c r="G202" s="11"/>
      <x:c r="H202" s="15"/>
      <x:c r="I202" s="11"/>
      <x:c r="J202" s="11"/>
    </x:row>
    <x:row r="203" ht="60" customHeight="1">
      <x:c r="A203" s="11"/>
      <x:c r="B203" s="11"/>
      <x:c r="C203" s="11"/>
      <x:c r="D203" s="14"/>
      <x:c r="E203" s="14"/>
      <x:c r="F203" s="11"/>
      <x:c r="G203" s="11"/>
      <x:c r="H203" s="15"/>
      <x:c r="I203" s="11"/>
      <x:c r="J203" s="11"/>
    </x:row>
    <x:row r="204" ht="60" customHeight="1">
      <x:c r="A204" s="11"/>
      <x:c r="B204" s="11"/>
      <x:c r="C204" s="11"/>
      <x:c r="D204" s="14"/>
      <x:c r="E204" s="14"/>
      <x:c r="F204" s="11"/>
      <x:c r="G204" s="11"/>
      <x:c r="H204" s="15"/>
      <x:c r="I204" s="11"/>
      <x:c r="J204" s="11"/>
    </x:row>
    <x:row r="205" ht="60" customHeight="1">
      <x:c r="A205" s="11"/>
      <x:c r="B205" s="11"/>
      <x:c r="C205" s="11"/>
      <x:c r="D205" s="14"/>
      <x:c r="E205" s="14"/>
      <x:c r="F205" s="11"/>
      <x:c r="G205" s="11"/>
      <x:c r="H205" s="15"/>
      <x:c r="I205" s="11"/>
      <x:c r="J205" s="11"/>
    </x:row>
    <x:row r="206" ht="60" customHeight="1">
      <x:c r="A206" s="11"/>
      <x:c r="B206" s="11"/>
      <x:c r="C206" s="11"/>
      <x:c r="D206" s="14"/>
      <x:c r="E206" s="14"/>
      <x:c r="F206" s="11"/>
      <x:c r="G206" s="11"/>
      <x:c r="H206" s="15"/>
      <x:c r="I206" s="11"/>
      <x:c r="J206" s="11"/>
    </x:row>
  </x:sheetData>
  <x:pageMargins left="0.7" right="0.7" top="0.75" bottom="0.75" header="0.3" footer="0.3"/>
  <x:tableParts count="1">
    <x:tablePart xmlns:r="http://schemas.openxmlformats.org/officeDocument/2006/relationships" r:id="R7ec0f93660cc4803"/>
  </x:tableParts>
</x:worksheet>
</file>